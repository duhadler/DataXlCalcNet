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Had\Documents\DataXlCalcNet\DataExamples\MainExamples\Workbooks\"/>
    </mc:Choice>
  </mc:AlternateContent>
  <xr:revisionPtr revIDLastSave="0" documentId="13_ncr:1_{D5809F21-63A1-4F41-BC65-9739CEB7A581}" xr6:coauthVersionLast="47" xr6:coauthVersionMax="47" xr10:uidLastSave="{00000000-0000-0000-0000-000000000000}"/>
  <bookViews>
    <workbookView xWindow="-83" yWindow="0" windowWidth="18923" windowHeight="19928" firstSheet="1" activeTab="4" xr2:uid="{35C406F7-5A1B-48FB-8DEC-8B4643AB952A}"/>
  </bookViews>
  <sheets>
    <sheet name="FractionsInput" sheetId="1" r:id="rId1"/>
    <sheet name="DecimalsInput" sheetId="2" r:id="rId2"/>
    <sheet name="Programming" sheetId="3" r:id="rId3"/>
    <sheet name="OutputMonitorCSV" sheetId="4" r:id="rId4"/>
    <sheet name="OutputMonitorSVG" sheetId="5" r:id="rId5"/>
  </sheets>
  <definedNames>
    <definedName name="MpInputDecimals">DecimalsInput!$D$5:$D$13</definedName>
    <definedName name="MpInputFractions">FractionsInput!$D$3:$D$11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1" i="5" a="1"/>
  <c r="B1" i="4" a="1"/>
  <c r="B15" i="3" a="1"/>
  <c r="B5" i="3" a="1"/>
  <c r="D25" i="2" a="1"/>
  <c r="B25" i="2" s="1" a="1"/>
  <c r="D24" i="2" a="1"/>
  <c r="B24" i="2" s="1" a="1"/>
  <c r="D22" i="2" a="1"/>
  <c r="B22" i="2" s="1" a="1"/>
  <c r="D21" i="2" a="1"/>
  <c r="B21" i="2" s="1" a="1"/>
  <c r="D20" i="2" a="1"/>
  <c r="B20" i="2" s="1" a="1"/>
  <c r="D19" i="2" a="1"/>
  <c r="B19" i="2" s="1" a="1"/>
  <c r="D17" i="2" a="1"/>
  <c r="B17" i="2" s="1" a="1"/>
  <c r="D16" i="2" a="1"/>
  <c r="B16" i="2" a="1"/>
  <c r="B13" i="2" a="1"/>
  <c r="B12" i="2" a="1"/>
  <c r="B11" i="2" a="1"/>
  <c r="B10" i="2" a="1"/>
  <c r="B9" i="2" a="1"/>
  <c r="B8" i="2" a="1"/>
  <c r="B7" i="2" a="1"/>
  <c r="B6" i="2" a="1"/>
  <c r="B5" i="2" a="1"/>
  <c r="D23" i="1" a="1"/>
  <c r="D22" i="1" a="1"/>
  <c r="D20" i="1" a="1"/>
  <c r="D19" i="1" a="1"/>
  <c r="D18" i="1" a="1"/>
  <c r="D17" i="1" a="1"/>
  <c r="D15" i="1" a="1"/>
  <c r="D14" i="1" a="1"/>
  <c r="B23" i="1" a="1"/>
  <c r="B22" i="1" a="1"/>
  <c r="B20" i="1" a="1"/>
  <c r="B19" i="1" a="1"/>
  <c r="B18" i="1" a="1"/>
  <c r="B17" i="1" a="1"/>
  <c r="B15" i="1" a="1"/>
  <c r="B14" i="1" a="1"/>
  <c r="B11" i="1" a="1"/>
  <c r="B10" i="1" a="1"/>
  <c r="B9" i="1" a="1"/>
  <c r="B8" i="1" a="1"/>
  <c r="B7" i="1" a="1"/>
  <c r="B6" i="1" a="1"/>
  <c r="B5" i="1" a="1"/>
  <c r="B4" i="1" a="1"/>
  <c r="B3" i="1" a="1"/>
  <c r="B6" i="5"/>
  <c r="A6" i="5"/>
  <c r="B5" i="5"/>
  <c r="A5" i="5"/>
  <c r="A4" i="5"/>
  <c r="C3" i="5"/>
  <c r="B3" i="5"/>
  <c r="A1" i="5"/>
  <c r="B8" i="4"/>
  <c r="A8" i="4"/>
  <c r="B7" i="4"/>
  <c r="A7" i="4"/>
  <c r="B6" i="4"/>
  <c r="A6" i="4"/>
  <c r="B5" i="4"/>
  <c r="A5" i="4"/>
  <c r="B4" i="4"/>
  <c r="A4" i="4"/>
  <c r="B3" i="4"/>
  <c r="A3" i="4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<sst xmlns="http://schemas.openxmlformats.org/spreadsheetml/2006/main" count="53" uniqueCount="40">
  <si>
    <t>Formatted as Double</t>
  </si>
  <si>
    <t>Original Data</t>
  </si>
  <si>
    <t>123456789012345678 / 901234567890</t>
  </si>
  <si>
    <t>123456789 / 012345678901234567890</t>
  </si>
  <si>
    <t>12345678901234 / 5678901234567890</t>
  </si>
  <si>
    <t>12345678901234567 / 8901234567890</t>
  </si>
  <si>
    <t>123456789012345678901 / 234567890</t>
  </si>
  <si>
    <t>1234567890123456 / 78901234567890</t>
  </si>
  <si>
    <t>123456789012 / 345678901234567890</t>
  </si>
  <si>
    <t>123456789012345678901234 / 567890</t>
  </si>
  <si>
    <t>123456789012345 / 678901234567890</t>
  </si>
  <si>
    <t>Prod:</t>
  </si>
  <si>
    <t>Sum:</t>
  </si>
  <si>
    <t>Median:</t>
  </si>
  <si>
    <t>Average:</t>
  </si>
  <si>
    <t>Mean:</t>
  </si>
  <si>
    <t>Variance:</t>
  </si>
  <si>
    <t>Min:</t>
  </si>
  <si>
    <t>Max:</t>
  </si>
  <si>
    <t>Dps:</t>
  </si>
  <si>
    <t>123456789012345678.901234567890</t>
  </si>
  <si>
    <t>123456789.012345678901234567890</t>
  </si>
  <si>
    <t>1234567890123456.78901234567890</t>
  </si>
  <si>
    <t>12345678901234.5678901234567890</t>
  </si>
  <si>
    <t>123456789012345678901.234567890</t>
  </si>
  <si>
    <t>123456789012.345678901234567890</t>
  </si>
  <si>
    <t>123456789012345678901234.567890</t>
  </si>
  <si>
    <t>123456789012345.678901234567890</t>
  </si>
  <si>
    <t>Python standard library: simple loop</t>
  </si>
  <si>
    <t>n:</t>
  </si>
  <si>
    <t>Result:</t>
  </si>
  <si>
    <t>Scipy: Numerical quadrature; f(x) = a*x**2 + b</t>
  </si>
  <si>
    <t>Lower limit of integration:</t>
  </si>
  <si>
    <t>Upper limit of integration:</t>
  </si>
  <si>
    <t>Parameter a:</t>
  </si>
  <si>
    <t>Parameter b:</t>
  </si>
  <si>
    <t>Result (integral, error estimate):</t>
  </si>
  <si>
    <t>Note:</t>
  </si>
  <si>
    <t>The result is written  to the Output Monitor folder (start the Output Monitor application first!)</t>
  </si>
  <si>
    <t>target: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</si>
</sst>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E+00"/>
  </numFmts>
  <fonts count="14">
    <font>
      <sz val="10"/>
      <color theme="1"/>
      <name val="Liberation Sans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12">
    <xf numFmtId="0" fontId="0" fillId="0" borderId="0" xfId="0"/>
    <xf numFmtId="0" fontId="1" fillId="0" borderId="0" xfId="11"/>
    <xf numFmtId="0" fontId="2" fillId="0" borderId="0" xfId="11" applyFont="1" applyAlignment="1">
      <alignment horizontal="center"/>
    </xf>
    <xf numFmtId="0" fontId="2" fillId="0" borderId="0" xfId="11" applyFont="1"/>
    <xf numFmtId="49" fontId="1" fillId="0" borderId="0" xfId="11" applyNumberFormat="1"/>
    <xf numFmtId="0" fontId="2" fillId="0" borderId="0" xfId="11" applyFont="1" applyAlignment="1">
      <alignment horizontal="right"/>
    </xf>
    <xf numFmtId="0" fontId="1" fillId="0" borderId="0" xfId="11" applyAlignment="1">
      <alignment horizontal="left"/>
    </xf>
    <xf numFmtId="0" fontId="2" fillId="0" borderId="0" xfId="11" applyFont="1" applyAlignment="1" applyProtection="1">
      <alignment horizontal="right"/>
    </xf>
    <xf numFmtId="0" fontId="1" fillId="0" borderId="0" xfId="11" applyProtection="1"/>
    <xf numFmtId="0" fontId="2" fillId="4" borderId="0" xfId="11" applyFont="1" applyFill="1" applyProtection="1"/>
    <xf numFmtId="0" fontId="1" fillId="4" borderId="0" xfId="11" applyFill="1"/>
    <xf numFmtId="164" fontId="1" fillId="0" borderId="0" xfId="11" applyNumberFormat="1"/>
  </cellXfs>
  <cellStyles count="20">
    <cellStyle name="Accent" xfId="7" xr:uid="{1CC1BA19-5599-4FCC-85CA-8FFF835F643A}"/>
    <cellStyle name="Accent 1" xfId="8" xr:uid="{1C92058C-7791-4DA4-91DD-B1A1B9744ACB}"/>
    <cellStyle name="Accent 2" xfId="9" xr:uid="{7FAC4CD3-A2B6-49B9-988D-F9E23FF3C265}"/>
    <cellStyle name="Accent 3" xfId="10" xr:uid="{0F03FBBD-3A56-4AFB-8B5C-780295D51D9B}"/>
    <cellStyle name="Bad" xfId="4" builtinId="27" customBuiltin="1"/>
    <cellStyle name="Default" xfId="11" xr:uid="{C6962DA5-4296-49F4-A4ED-ECAC24970DDF}"/>
    <cellStyle name="Error" xfId="12" xr:uid="{89FA06B3-B366-479A-ABE4-82BA9B9C168F}"/>
    <cellStyle name="Footnote" xfId="13" xr:uid="{11B8D886-4830-49ED-B38D-EB1A953DEC63}"/>
    <cellStyle name="Good" xfId="3" builtinId="26" customBuiltin="1"/>
    <cellStyle name="Heading" xfId="14" xr:uid="{6AB5CC2A-1473-4B59-913E-38EA3E79A0B5}"/>
    <cellStyle name="Heading 1" xfId="1" builtinId="16" customBuiltin="1"/>
    <cellStyle name="Heading 2" xfId="2" builtinId="17" customBuiltin="1"/>
    <cellStyle name="Hyperlink" xfId="15" xr:uid="{A190E3A9-D31F-4E07-839C-E70F99822E8E}"/>
    <cellStyle name="Neutral" xfId="5" builtinId="28" customBuiltin="1"/>
    <cellStyle name="Normal" xfId="0" builtinId="0" customBuiltin="1"/>
    <cellStyle name="Note" xfId="6" builtinId="10" customBuiltin="1"/>
    <cellStyle name="Result" xfId="16" xr:uid="{360821E8-D7A9-499C-AFCC-5BD5CEBF9CBE}"/>
    <cellStyle name="Status" xfId="17" xr:uid="{ECE920D1-00D3-4958-B980-3E8B3192B4E3}"/>
    <cellStyle name="Text" xfId="18" xr:uid="{8BF76AC0-A948-4C4E-80FD-0AA9A887DCF5}"/>
    <cellStyle name="Warning" xfId="19" xr:uid="{E44500ED-DB28-4A8C-8C83-8BF8FA5AC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6918-E53C-42EE-9B6A-F800A2B11563}">
  <dimension ref="A1:E23"/>
  <sheetViews>
    <sheetView workbookViewId="0">
      <selection activeCell="D3" sqref="D3:D11"/>
    </sheetView>
  </sheetViews>
  <sheetFormatPr defaultRowHeight="12.75"/>
  <cols>
    <col min="1" max="1" width="11.796875" customWidth="1"/>
    <col min="2" max="2" width="22.86328125" customWidth="1"/>
    <col min="3" max="3" width="4.86328125" customWidth="1"/>
    <col min="4" max="4" width="37.796875" customWidth="1"/>
    <col min="5" max="5" width="22.1328125" customWidth="1"/>
  </cols>
  <sheetData>
    <row r="1" spans="1:5">
      <c r="A1" s="1"/>
      <c r="B1" s="1"/>
      <c r="C1" s="1"/>
      <c r="D1" s="1"/>
      <c r="E1" s="1"/>
    </row>
    <row r="2" spans="1:5" ht="13.15">
      <c r="A2" s="1"/>
      <c r="B2" s="2" t="s">
        <v>0</v>
      </c>
      <c r="C2" s="3"/>
      <c r="D2" s="2" t="s">
        <v>1</v>
      </c>
      <c r="E2" s="1"/>
    </row>
    <row r="3" spans="1:5">
      <c r="A3" s="1"/>
      <c r="B3" s="11" cm="1">
        <f t="array" ref="B3">_xll.ASDOUBLE(D3)</f>
        <v>136986.30013869394</v>
      </c>
      <c r="C3" s="1"/>
      <c r="D3" s="4" t="s">
        <v>2</v>
      </c>
      <c r="E3" s="1"/>
    </row>
    <row r="4" spans="1:5">
      <c r="A4" s="1"/>
      <c r="B4" s="11" cm="1">
        <f t="array" ref="B4">_xll.ASDOUBLE(D4)</f>
        <v>9.9999999989999994E-12</v>
      </c>
      <c r="C4" s="1"/>
      <c r="D4" s="4" t="s">
        <v>3</v>
      </c>
      <c r="E4" s="1"/>
    </row>
    <row r="5" spans="1:5">
      <c r="A5" s="1"/>
      <c r="B5" s="11" cm="1">
        <f t="array" ref="B5">_xll.ASDOUBLE(D5)</f>
        <v>2.1739555578260358E-3</v>
      </c>
      <c r="C5" s="1"/>
      <c r="D5" s="4" t="s">
        <v>4</v>
      </c>
      <c r="E5" s="1"/>
    </row>
    <row r="6" spans="1:5">
      <c r="A6" s="1"/>
      <c r="B6" s="11" cm="1">
        <f t="array" ref="B6">_xll.ASDOUBLE(D6)</f>
        <v>1386.9625395301832</v>
      </c>
      <c r="C6" s="1"/>
      <c r="D6" s="4" t="s">
        <v>5</v>
      </c>
      <c r="E6" s="1"/>
    </row>
    <row r="7" spans="1:5">
      <c r="A7" s="1"/>
      <c r="B7" s="11" cm="1">
        <f t="array" ref="B7">_xll.ASDOUBLE(D7)</f>
        <v>526315809944.5993</v>
      </c>
      <c r="C7" s="1"/>
      <c r="D7" s="4" t="s">
        <v>6</v>
      </c>
      <c r="E7" s="1"/>
    </row>
    <row r="8" spans="1:5">
      <c r="A8" s="1"/>
      <c r="B8" s="11" cm="1">
        <f t="array" ref="B8">_xll.ASDOUBLE(D8)</f>
        <v>15.647003457990014</v>
      </c>
      <c r="C8" s="1"/>
      <c r="D8" s="4" t="s">
        <v>7</v>
      </c>
      <c r="E8" s="1"/>
    </row>
    <row r="9" spans="1:5">
      <c r="A9" s="1"/>
      <c r="B9" s="11" cm="1">
        <f t="array" ref="B9">_xll.ASDOUBLE(D9)</f>
        <v>3.571429687235257E-7</v>
      </c>
      <c r="C9" s="1"/>
      <c r="D9" s="4" t="s">
        <v>8</v>
      </c>
      <c r="E9" s="1"/>
    </row>
    <row r="10" spans="1:5">
      <c r="A10" s="1"/>
      <c r="B10" s="11" cm="1">
        <f t="array" ref="B10">_xll.ASDOUBLE(D10)</f>
        <v>2.1739560304345152E+17</v>
      </c>
      <c r="C10" s="1"/>
      <c r="D10" s="4" t="s">
        <v>9</v>
      </c>
      <c r="E10" s="1"/>
    </row>
    <row r="11" spans="1:5">
      <c r="A11" s="1"/>
      <c r="B11" s="11" cm="1">
        <f t="array" ref="B11">_xll.ASDOUBLE(D11)</f>
        <v>0.1818479371169848</v>
      </c>
      <c r="C11" s="1"/>
      <c r="D11" s="4" t="s">
        <v>10</v>
      </c>
      <c r="E11" s="1"/>
    </row>
    <row r="12" spans="1:5">
      <c r="A12" s="1"/>
      <c r="B12" s="11"/>
      <c r="C12" s="1"/>
      <c r="D12" s="1"/>
      <c r="E12" s="1"/>
    </row>
    <row r="13" spans="1:5">
      <c r="A13" s="1"/>
      <c r="B13" s="11"/>
      <c r="C13" s="1"/>
      <c r="D13" s="1"/>
      <c r="E13" s="1"/>
    </row>
    <row r="14" spans="1:5" ht="13.15">
      <c r="A14" s="5" t="s">
        <v>11</v>
      </c>
      <c r="B14" s="11" cm="1">
        <f t="array" ref="B14">_xll.CPY_1("from xlcalcnet import npm, qpm $n x = npm.array(P1, dtype=qpm); result=float(npm.prod(x))",MpInputFractions)</f>
        <v>4.8025441102207347E+17</v>
      </c>
      <c r="C14" s="1"/>
      <c r="D14" s="1" t="str" cm="1">
        <f t="array" ref="D14">_xll.CPY_1("from xlcalcnet import npm, qpm $n x = npm.array(P1, dtype=qpm); result=str(npm.prod(x))",MpInputFractions)</f>
        <v>109488241064252366394927246517420416158540118298557063498185516094210038746420747104501900062515148696639790813925098836/227979667758262527359766262386250226265285096401671915385365612725910795372689560160316840456210546875</v>
      </c>
      <c r="E14" s="1"/>
    </row>
    <row r="15" spans="1:5" ht="13.15">
      <c r="A15" s="5" t="s">
        <v>12</v>
      </c>
      <c r="B15" s="11" cm="1">
        <f t="array" ref="B15">_xll.CPY_1("from xlcalcnet import npm, qpm $n x = npm.array(P1, dtype=qpm); result=float(npm.sum(x))",MpInputFractions)</f>
        <v>2.1739612935939984E+17</v>
      </c>
      <c r="C15" s="1"/>
      <c r="D15" s="1" t="str" cm="1">
        <f t="array" ref="D15">_xll.CPY_1("from xlcalcnet import npm, qpm $n x = npm.array(P1, dtype=qpm); result=str(npm.sum(x))",MpInputFractions)</f>
        <v>48848206021544887892701015659858329178996133656582775641947992289316240335356579367915219404898533325298994977801656/224696760542543546965785628207888223007064991013487839803816347902657679919322830494008277953641115</v>
      </c>
      <c r="E15" s="1"/>
    </row>
    <row r="16" spans="1:5" ht="13.15">
      <c r="A16" s="3"/>
      <c r="B16" s="11"/>
      <c r="C16" s="1"/>
      <c r="D16" s="1"/>
      <c r="E16" s="1"/>
    </row>
    <row r="17" spans="1:5" ht="13.15">
      <c r="A17" s="5" t="s">
        <v>13</v>
      </c>
      <c r="B17" s="11" cm="1">
        <f t="array" ref="B17">_xll.CPY_1("from xlcalcnet import npm, qpm $n x = npm.array(P1, dtype=qpm); result=float(npm.median(x))",MpInputFractions)</f>
        <v>15.647003457990014</v>
      </c>
      <c r="C17" s="1"/>
      <c r="D17" s="1" t="str" cm="1">
        <f t="array" ref="D17">_xll.CPY_1("from xlcalcnet import npm, qpm $n x = npm.array(P1, dtype=qpm); result=str(npm.median(x))",MpInputFractions)</f>
        <v>29394473574368/1878600823045</v>
      </c>
      <c r="E17" s="1"/>
    </row>
    <row r="18" spans="1:5" ht="13.15">
      <c r="A18" s="5" t="s">
        <v>14</v>
      </c>
      <c r="B18" s="11" cm="1">
        <f t="array" ref="B18">_xll.CPY_1("from xlcalcnet import npm, qpm $n x = npm.array(P1, dtype=qpm); result=float(npm.average(x))",MpInputFractions)</f>
        <v>2.415512548437776E+16</v>
      </c>
      <c r="C18" s="1"/>
      <c r="D18" s="1" t="str" cm="1">
        <f t="array" ref="D18">_xll.CPY_1("from xlcalcnet import npm, qpm $n x = npm.array(P1, dtype=qpm); result=str(npm.average(x))",MpInputFractions)</f>
        <v>48848206021544887892701015659858329178996133656582775641947992289316240335356579367915219404898533325298994977801656/2022270844882891922692070653870994007063584919121390558234347131123919119273905474446074501582770035</v>
      </c>
      <c r="E18" s="1"/>
    </row>
    <row r="19" spans="1:5" ht="13.15">
      <c r="A19" s="5" t="s">
        <v>15</v>
      </c>
      <c r="B19" s="11" cm="1">
        <f t="array" ref="B19">_xll.CPY_1("from xlcalcnet import npm, qpm $n x = npm.array(P1, dtype=qpm); result=float(npm.mean(x))",MpInputFractions)</f>
        <v>2.415512548437776E+16</v>
      </c>
      <c r="C19" s="1"/>
      <c r="D19" s="1" t="str" cm="1">
        <f t="array" ref="D19">_xll.CPY_1("from xlcalcnet import npm, qpm $n x = npm.array(P1, dtype=qpm); result=str(npm.mean(x))",MpInputFractions)</f>
        <v>48848206021544887892701015659858329178996133656582775641947992289316240335356579367915219404898533325298994977801656/2022270844882891922692070653870994007063584919121390558234347131123919119273905474446074501582770035</v>
      </c>
      <c r="E19" s="1"/>
    </row>
    <row r="20" spans="1:5" ht="13.15">
      <c r="A20" s="5" t="s">
        <v>16</v>
      </c>
      <c r="B20" s="11" cm="1">
        <f t="array" ref="B20">_xll.CPY_1("from xlcalcnet import npm, qpm $n x = npm.array(P1, dtype=qpm); result=float(npm.var(x))",MpInputFractions)</f>
        <v>4.6677352709342923E+33</v>
      </c>
      <c r="C20" s="1"/>
      <c r="D20" s="1" t="str" cm="1">
        <f t="array" ref="D20">_xll.CPY_1("from xlcalcnet import npm, qpm $n x = npm.array(P1, dtype=qpm); result=str(npm.var(x))",MpInputFractions)</f>
        <v>19089073868930015117999458972414586128722220685456663486944089433583879965308056064908105750038597541438914085570489493032827839968830145537847561078150061641740856059749078946623830408413037647446225433725686065702345631708965116412/4089579370063365524106051093777555099557714739957697768428800983173510617665144022273028468928802501120085717622181227200462795926228598580496164025306632890570278423265544301659886460375983693901225</v>
      </c>
      <c r="E20" s="1"/>
    </row>
    <row r="21" spans="1:5" ht="13.15">
      <c r="A21" s="3"/>
      <c r="B21" s="11"/>
      <c r="C21" s="1"/>
      <c r="D21" s="1"/>
      <c r="E21" s="1"/>
    </row>
    <row r="22" spans="1:5" ht="13.15">
      <c r="A22" s="5" t="s">
        <v>17</v>
      </c>
      <c r="B22" s="11" cm="1">
        <f t="array" ref="B22">_xll.CPY_1("from xlcalcnet import npm, qpm $n x = npm.array(P1, dtype=qpm); result=float(npm.min(x))",MpInputFractions)</f>
        <v>9.9999999989999994E-12</v>
      </c>
      <c r="C22" s="1"/>
      <c r="D22" s="1" t="str" cm="1">
        <f t="array" ref="D22">_xll.CPY_1("from xlcalcnet import npm, qpm $n x = npm.array(P1, dtype=qpm); result=str(npm.min(x))",MpInputFractions)</f>
        <v>1/100000000010</v>
      </c>
      <c r="E22" s="1"/>
    </row>
    <row r="23" spans="1:5" ht="13.15">
      <c r="A23" s="5" t="s">
        <v>18</v>
      </c>
      <c r="B23" s="11" cm="1">
        <f t="array" ref="B23">_xll.CPY_1("from xlcalcnet import npm, qpm $n x = npm.array(P1, dtype=qpm); result=float(npm.max(x))",MpInputFractions)</f>
        <v>2.1739560304345152E+17</v>
      </c>
      <c r="C23" s="1"/>
      <c r="D23" s="1" t="str" cm="1">
        <f t="array" ref="D23">_xll.CPY_1("from xlcalcnet import npm, qpm $n x = npm.array(P1, dtype=qpm); result=str(npm.max(x))",MpInputFractions)</f>
        <v>61728394506172839450617/283945</v>
      </c>
      <c r="E23" s="1"/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4951-5CD8-4A57-8441-7072305548C9}">
  <dimension ref="A1:E25"/>
  <sheetViews>
    <sheetView workbookViewId="0">
      <selection activeCell="D5" sqref="D5:D13"/>
    </sheetView>
  </sheetViews>
  <sheetFormatPr defaultRowHeight="12.75"/>
  <cols>
    <col min="1" max="1" width="11.796875" customWidth="1"/>
    <col min="2" max="2" width="22.33203125" customWidth="1"/>
    <col min="3" max="3" width="3.86328125" customWidth="1"/>
    <col min="4" max="4" width="37.59765625" customWidth="1"/>
    <col min="5" max="5" width="22.1328125" customWidth="1"/>
  </cols>
  <sheetData>
    <row r="1" spans="1:5">
      <c r="A1" s="1"/>
      <c r="B1" s="1"/>
      <c r="C1" s="1"/>
      <c r="D1" s="1"/>
      <c r="E1" s="1"/>
    </row>
    <row r="2" spans="1:5" ht="13.15">
      <c r="A2" s="5" t="s">
        <v>19</v>
      </c>
      <c r="B2" s="6">
        <v>50</v>
      </c>
      <c r="C2" s="1"/>
      <c r="D2" s="6"/>
      <c r="E2" s="1"/>
    </row>
    <row r="3" spans="1:5">
      <c r="A3" s="1"/>
      <c r="B3" s="1"/>
      <c r="C3" s="1"/>
      <c r="D3" s="1"/>
      <c r="E3" s="1"/>
    </row>
    <row r="4" spans="1:5" ht="13.15">
      <c r="A4" s="1"/>
      <c r="B4" s="2" t="s">
        <v>0</v>
      </c>
      <c r="C4" s="3"/>
      <c r="D4" s="2" t="s">
        <v>1</v>
      </c>
      <c r="E4" s="1"/>
    </row>
    <row r="5" spans="1:5">
      <c r="A5" s="1"/>
      <c r="B5" s="11" cm="1">
        <f t="array" ref="B5">_xll.ASDOUBLE(D5)</f>
        <v>1.2345678901234568E+17</v>
      </c>
      <c r="C5" s="1"/>
      <c r="D5" s="4" t="s">
        <v>20</v>
      </c>
      <c r="E5" s="1"/>
    </row>
    <row r="6" spans="1:5">
      <c r="A6" s="1"/>
      <c r="B6" s="11" cm="1">
        <f t="array" ref="B6">_xll.ASDOUBLE(D6)</f>
        <v>123456789.01234567</v>
      </c>
      <c r="C6" s="1"/>
      <c r="D6" s="4" t="s">
        <v>21</v>
      </c>
      <c r="E6" s="1"/>
    </row>
    <row r="7" spans="1:5">
      <c r="A7" s="1"/>
      <c r="B7" s="11" cm="1">
        <f t="array" ref="B7">_xll.ASDOUBLE(D7)</f>
        <v>1234567890123456.8</v>
      </c>
      <c r="C7" s="1"/>
      <c r="D7" s="4" t="s">
        <v>22</v>
      </c>
      <c r="E7" s="1"/>
    </row>
    <row r="8" spans="1:5">
      <c r="A8" s="1"/>
      <c r="B8" s="11" cm="1">
        <f t="array" ref="B8">_xll.ASDOUBLE(D8)</f>
        <v>12345678901234.568</v>
      </c>
      <c r="C8" s="1"/>
      <c r="D8" s="4" t="s">
        <v>23</v>
      </c>
      <c r="E8" s="1"/>
    </row>
    <row r="9" spans="1:5">
      <c r="A9" s="1"/>
      <c r="B9" s="11" cm="1">
        <f t="array" ref="B9">_xll.ASDOUBLE(D9)</f>
        <v>1.2345678901234568E+20</v>
      </c>
      <c r="C9" s="1"/>
      <c r="D9" s="4" t="s">
        <v>24</v>
      </c>
      <c r="E9" s="1"/>
    </row>
    <row r="10" spans="1:5">
      <c r="A10" s="1"/>
      <c r="B10" s="11" cm="1">
        <f t="array" ref="B10">_xll.ASDOUBLE(D10)</f>
        <v>1234567890123456.8</v>
      </c>
      <c r="C10" s="1"/>
      <c r="D10" s="4" t="s">
        <v>22</v>
      </c>
      <c r="E10" s="1"/>
    </row>
    <row r="11" spans="1:5">
      <c r="A11" s="1"/>
      <c r="B11" s="11" cm="1">
        <f t="array" ref="B11">_xll.ASDOUBLE(D11)</f>
        <v>123456789012.34567</v>
      </c>
      <c r="C11" s="1"/>
      <c r="D11" s="4" t="s">
        <v>25</v>
      </c>
      <c r="E11" s="1"/>
    </row>
    <row r="12" spans="1:5">
      <c r="A12" s="1"/>
      <c r="B12" s="11" cm="1">
        <f t="array" ref="B12">_xll.ASDOUBLE(D12)</f>
        <v>1.2345678901234569E+23</v>
      </c>
      <c r="C12" s="1"/>
      <c r="D12" s="4" t="s">
        <v>26</v>
      </c>
      <c r="E12" s="1"/>
    </row>
    <row r="13" spans="1:5">
      <c r="A13" s="1"/>
      <c r="B13" s="11" cm="1">
        <f t="array" ref="B13">_xll.ASDOUBLE(D13)</f>
        <v>123456789012345.67</v>
      </c>
      <c r="C13" s="1"/>
      <c r="D13" s="4" t="s">
        <v>27</v>
      </c>
      <c r="E13" s="1"/>
    </row>
    <row r="14" spans="1:5">
      <c r="A14" s="1"/>
      <c r="B14" s="11"/>
      <c r="C14" s="1"/>
      <c r="D14" s="1"/>
      <c r="E14" s="1"/>
    </row>
    <row r="15" spans="1:5">
      <c r="A15" s="1"/>
      <c r="B15" s="11"/>
      <c r="C15" s="1"/>
      <c r="D15" s="1"/>
      <c r="E15" s="1"/>
    </row>
    <row r="16" spans="1:5" ht="13.15">
      <c r="A16" s="5" t="s">
        <v>11</v>
      </c>
      <c r="B16" s="11" cm="1">
        <f t="array" ref="B16">_xll.ASDOUBLE(D16)</f>
        <v>6.6624627657161587E+136</v>
      </c>
      <c r="C16" s="1"/>
      <c r="D16" s="1" t="str" cm="1">
        <f t="array" ref="D16">_xll.CPY_2("from xlcalcnet import npm, dpm $n dpm.dps=int(P2); x = npm.array(P1, dtype=dpm); result=str(npm.prod(x))",MpInputDecimals, $B$2)</f>
        <v>6.6624627657161584941860935809721313446574654510869E+136</v>
      </c>
      <c r="E16" s="1"/>
    </row>
    <row r="17" spans="1:5" ht="13.15">
      <c r="A17" s="5" t="s">
        <v>12</v>
      </c>
      <c r="B17" s="11" cm="1">
        <f t="array" ref="B17">_xll.ASDOUBLE(D17)</f>
        <v>1.2358037186320887E+23</v>
      </c>
      <c r="C17" s="1"/>
      <c r="D17" s="1" t="str" cm="1">
        <f t="array" ref="D17">_xll.CPY_2("from xlcalcnet import npm, dpm $n dpm.dps=int(P2); x = npm.array(P1, dtype=dpm); result=str(npm.sum(x))",MpInputDecimals, $B$2)</f>
        <v>123580371863208865332109.886533087408281457890</v>
      </c>
      <c r="E17" s="1"/>
    </row>
    <row r="18" spans="1:5" ht="13.15">
      <c r="A18" s="3"/>
      <c r="B18" s="11"/>
      <c r="C18" s="1"/>
      <c r="D18" s="1"/>
      <c r="E18" s="1"/>
    </row>
    <row r="19" spans="1:5" ht="13.15">
      <c r="A19" s="5" t="s">
        <v>13</v>
      </c>
      <c r="B19" s="11" cm="1">
        <f t="array" ref="B19">_xll.ASDOUBLE(D19)</f>
        <v>1234567890123456.8</v>
      </c>
      <c r="C19" s="1"/>
      <c r="D19" s="1" t="str" cm="1">
        <f t="array" ref="D19">_xll.CPY_2("from xlcalcnet import npm, dpm $n dpm.dps=int(P2); x = npm.array(P1, dtype=dpm); result=str(npm.median(x))",MpInputDecimals, $B$2)</f>
        <v>1234567890123456.78901234567890</v>
      </c>
      <c r="E19" s="1"/>
    </row>
    <row r="20" spans="1:5" ht="13.15">
      <c r="A20" s="5" t="s">
        <v>14</v>
      </c>
      <c r="B20" s="11" cm="1">
        <f t="array" ref="B20">_xll.ASDOUBLE(D20)</f>
        <v>1.3731152429245429E+22</v>
      </c>
      <c r="C20" s="1"/>
      <c r="D20" s="1" t="str" cm="1">
        <f t="array" ref="D20">_xll.CPY_2("from xlcalcnet import npm, dpm $n dpm.dps=int(P2); x = npm.array(P1, dtype=dpm); result=str(npm.average(x))",MpInputDecimals, $B$2)</f>
        <v>13731152429245429481345.542948120823142384210</v>
      </c>
      <c r="E20" s="1"/>
    </row>
    <row r="21" spans="1:5" ht="13.15">
      <c r="A21" s="5" t="s">
        <v>15</v>
      </c>
      <c r="B21" s="11" cm="1">
        <f t="array" ref="B21">_xll.ASDOUBLE(D21)</f>
        <v>1.3731152429245429E+22</v>
      </c>
      <c r="C21" s="1"/>
      <c r="D21" s="1" t="str" cm="1">
        <f t="array" ref="D21">_xll.CPY_2("from xlcalcnet import npm, dpm $n dpm.dps=int(P2); x = npm.array(P1, dtype=dpm); result=str(npm.mean(x))",MpInputDecimals, $B$2)</f>
        <v>13731152429245429481345.542948120823142384210</v>
      </c>
      <c r="E21" s="1"/>
    </row>
    <row r="22" spans="1:5" ht="13.15">
      <c r="A22" s="5" t="s">
        <v>16</v>
      </c>
      <c r="B22" s="11" cm="1">
        <f t="array" ref="B22">_xll.ASDOUBLE(D22)</f>
        <v>1.5049658968351423E+45</v>
      </c>
      <c r="C22" s="1"/>
      <c r="D22" s="1" t="str" cm="1">
        <f t="array" ref="D22">_xll.CPY_2("from xlcalcnet import npm, dpm $n dpm.dps=int(P2); x = npm.array(P1, dtype=dpm); result=str(npm.var(x))",MpInputDecimals, $B$2)</f>
        <v>1504965896835142299809432231530063302201297967.884</v>
      </c>
      <c r="E22" s="1"/>
    </row>
    <row r="23" spans="1:5" ht="13.15">
      <c r="A23" s="3"/>
      <c r="B23" s="11"/>
      <c r="C23" s="1"/>
      <c r="D23" s="1"/>
      <c r="E23" s="1"/>
    </row>
    <row r="24" spans="1:5" ht="13.15">
      <c r="A24" s="5" t="s">
        <v>17</v>
      </c>
      <c r="B24" s="11" cm="1">
        <f t="array" ref="B24">_xll.ASDOUBLE(D24)</f>
        <v>123456789.01234567</v>
      </c>
      <c r="C24" s="1"/>
      <c r="D24" s="1" t="str" cm="1">
        <f t="array" ref="D24">_xll.CPY_2("from xlcalcnet import npm, dpm $n dpm.dps=int(P2); x = npm.array(P1, dtype=dpm); result=str(npm.min(x))",MpInputDecimals, $B$2)</f>
        <v>123456789.012345678901234567890</v>
      </c>
      <c r="E24" s="1"/>
    </row>
    <row r="25" spans="1:5" ht="13.15">
      <c r="A25" s="5" t="s">
        <v>18</v>
      </c>
      <c r="B25" s="11" cm="1">
        <f t="array" ref="B25">_xll.ASDOUBLE(D25)</f>
        <v>1.2345678901234569E+23</v>
      </c>
      <c r="C25" s="1"/>
      <c r="D25" s="1" t="str" cm="1">
        <f t="array" ref="D25">_xll.CPY_2("from xlcalcnet import npm, dpm $n dpm.dps=int(P2); x = npm.array(P1, dtype=dpm); result=str(npm.max(x))",MpInputDecimals, $B$2)</f>
        <v>123456789012345678901234.567890</v>
      </c>
      <c r="E25" s="1"/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8CFD-852C-4C16-8D14-354B98DE18CF}">
  <dimension ref="A1:E15"/>
  <sheetViews>
    <sheetView workbookViewId="0"/>
  </sheetViews>
  <sheetFormatPr defaultRowHeight="12.75"/>
  <cols>
    <col min="1" max="1" width="30.46484375" style="8" customWidth="1"/>
    <col min="2" max="2" width="13.86328125" style="1" customWidth="1"/>
    <col min="3" max="3" width="11.3984375" style="1" customWidth="1"/>
    <col min="4" max="4" width="26.9296875" style="8" customWidth="1"/>
    <col min="5" max="5" width="24.73046875" style="8" customWidth="1"/>
  </cols>
  <sheetData>
    <row r="1" spans="1:5">
      <c r="A1" s="1"/>
      <c r="D1" s="1"/>
      <c r="E1" s="1"/>
    </row>
    <row r="2" spans="1:5" ht="13.15">
      <c r="A2" s="7"/>
      <c r="B2" s="8"/>
      <c r="C2" s="8"/>
    </row>
    <row r="3" spans="1:5" ht="13.15">
      <c r="A3" s="9" t="s">
        <v>28</v>
      </c>
      <c r="B3" s="10"/>
    </row>
    <row r="4" spans="1:5" ht="13.15">
      <c r="A4" s="7" t="s">
        <v>29</v>
      </c>
      <c r="B4" s="8">
        <v>45</v>
      </c>
      <c r="C4" s="8"/>
    </row>
    <row r="5" spans="1:5" ht="13.15">
      <c r="A5" s="7" t="s">
        <v>30</v>
      </c>
      <c r="B5" s="8" cm="1">
        <f t="array" ref="B5">_xll.CPY_1("temp = 0 $n for i in range(int(P1)): $n$t temp += i $n result = 2 * temp", B4)</f>
        <v>1980</v>
      </c>
      <c r="C5" s="8"/>
    </row>
    <row r="6" spans="1:5" ht="13.15">
      <c r="A6" s="7"/>
      <c r="B6" s="8"/>
      <c r="C6" s="8"/>
    </row>
    <row r="10" spans="1:5" ht="13.15">
      <c r="A10" s="9" t="s">
        <v>31</v>
      </c>
      <c r="B10" s="10"/>
    </row>
    <row r="11" spans="1:5" ht="13.15">
      <c r="A11" s="7" t="s">
        <v>32</v>
      </c>
      <c r="B11" s="1">
        <v>-1.4</v>
      </c>
    </row>
    <row r="12" spans="1:5" ht="13.15">
      <c r="A12" s="7" t="s">
        <v>33</v>
      </c>
      <c r="B12" s="1">
        <v>1.5</v>
      </c>
    </row>
    <row r="13" spans="1:5" ht="13.15">
      <c r="A13" s="7" t="s">
        <v>34</v>
      </c>
      <c r="B13" s="1">
        <v>2.1</v>
      </c>
    </row>
    <row r="14" spans="1:5" ht="13.15">
      <c r="A14" s="7" t="s">
        <v>35</v>
      </c>
      <c r="B14" s="1">
        <v>1.1000000000000001</v>
      </c>
    </row>
    <row r="15" spans="1:5" ht="13.15">
      <c r="A15" s="5" t="s">
        <v>36</v>
      </c>
      <c r="B15" s="8" t="str" cm="1">
        <f t="array" ref="B15">_xll.CPY_4("from scipy.integrate import quad $n def integrand(x, a, b): return a*x**2 + b $n a = float(P3); b = float(P4);  $n I = quad(integrand, float(P1), float(P2), args=(a,b))   $n result = str(I) ", B11, B12, B13, B14)</f>
        <v>(7.473300000000001, 8.297029729931183e-14)</v>
      </c>
    </row>
  </sheetData>
  <pageMargins left="0.78740157480314954" right="0.78740157480314954" top="1.1811023622047245" bottom="1.1811023622047245" header="0.78740157480314954" footer="0.78740157480314954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DB36-196E-43E1-A2EA-39DC9D7F0C42}">
  <dimension ref="A1:V12"/>
  <sheetViews>
    <sheetView workbookViewId="0">
      <selection activeCell="A14" sqref="A14"/>
    </sheetView>
  </sheetViews>
  <sheetFormatPr defaultRowHeight="12.75"/>
  <cols>
    <col min="1" max="1" width="16.46484375" customWidth="1"/>
    <col min="2" max="22" width="11.3984375" customWidth="1"/>
  </cols>
  <sheetData>
    <row r="1" spans="1:22" ht="13.15">
      <c r="A1" s="5" t="str">
        <f>"Python Script:"</f>
        <v>Python Script:</v>
      </c>
      <c r="B1" s="1" t="str" cm="1">
        <f t="array" ref="B1">_xll.CPY_0(_xlfn.TEXTJOIN(" ",1,"from A06_UserlibExamplesPython.B29_InferentialStatistics.C01_BasicTests1Sample import D01_StudentT_PValues $n importlib.reload(D01_StudentT_PValues) $n  D01_StudentT_PValues.stats_student_t_1sample_test(n=",B3,", mu0=",B4,", mean=",B5,", std=",B6,", alpha=", B7, B8, ")"," $n result='Students t-test, 1 sample'"))</f>
        <v>Students t-test, 1 sample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3.15">
      <c r="A3" s="5" t="str">
        <f>"n:"</f>
        <v>n:</v>
      </c>
      <c r="B3" s="1" t="str">
        <f>"[10, 20, 30]"</f>
        <v>[10, 20, 30]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3.15">
      <c r="A4" s="5" t="str">
        <f>"mu0:"</f>
        <v>mu0:</v>
      </c>
      <c r="B4" s="1" t="str">
        <f>"1.0"</f>
        <v>1.0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3.15">
      <c r="A5" s="5" t="str">
        <f>"mean:"</f>
        <v>mean:</v>
      </c>
      <c r="B5" s="1" t="str">
        <f>"[4.5,4.7]"</f>
        <v>[4.5,4.7]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3.15">
      <c r="A6" s="5" t="str">
        <f>"std:"</f>
        <v>std:</v>
      </c>
      <c r="B6" s="1" t="str">
        <f>"[1,2,3,4]"</f>
        <v>[1,2,3,4]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</row>
    <row r="7" spans="1:22" ht="13.15">
      <c r="A7" s="5" t="str">
        <f>"alpha:"</f>
        <v>alpha:</v>
      </c>
      <c r="B7" s="1" t="str">
        <f>"0.05"</f>
        <v>0.05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3.15">
      <c r="A8" s="5" t="str">
        <f>"Options:"</f>
        <v>Options:</v>
      </c>
      <c r="B8" s="1" t="str">
        <f>",I=True, D=True, T=True, C=True, Onesided=True, Twosided = True, OutputMode='csv'"</f>
        <v>,I=True, D=True, T=True, C=True, Onesided=True, Twosided = True, OutputMode='csv'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3.15">
      <c r="A12" s="5" t="s">
        <v>37</v>
      </c>
      <c r="B12" s="1" t="s">
        <v>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AA25-2E01-4FEF-A018-7BE8114D6D3B}">
  <dimension ref="A1:C10"/>
  <sheetViews>
    <sheetView tabSelected="1" workbookViewId="0">
      <selection activeCell="A12" sqref="A12"/>
    </sheetView>
  </sheetViews>
  <sheetFormatPr defaultRowHeight="12.75"/>
  <cols>
    <col min="1" max="1" width="14" customWidth="1"/>
    <col min="2" max="3" width="11.3984375" customWidth="1"/>
  </cols>
  <sheetData>
    <row r="1" spans="1:3" ht="13.15">
      <c r="A1" s="5" t="str">
        <f>"Python Script:"</f>
        <v>Python Script:</v>
      </c>
      <c r="B1" s="1" t="str" cm="1">
        <f t="array" ref="B1">_xll.CPY_0(_xlfn.TEXTJOIN(" ",1,"from A01_ExamplesPython.B18_FunctionsAndCurvesPlots.C01_Intro_Parametric2D import D07_DistPlotContinuous $n importlib.reload(D07_DistPlotContinuous) $n   D07_DistPlotContinuous.DistPlotBeta(target=",B3,", a=",B4,", b=",B5,", Title=",B6,", OutputMode = 'svg'",  ")"," $n result='Beta distribution'"))</f>
        <v>Beta distribution</v>
      </c>
      <c r="C1" s="1"/>
    </row>
    <row r="2" spans="1:3" ht="13.15">
      <c r="A2" s="5"/>
      <c r="B2" s="1"/>
      <c r="C2" s="1"/>
    </row>
    <row r="3" spans="1:3" ht="13.15">
      <c r="A3" s="5" t="s">
        <v>39</v>
      </c>
      <c r="B3" s="1" t="str">
        <f>"'pdf'"</f>
        <v>'pdf'</v>
      </c>
      <c r="C3" s="1" t="str">
        <f>"#  'pdf', 'cdf', 'sf', 'hf', 'chf', 'qtf', 'isf'"</f>
        <v>#  'pdf', 'cdf', 'sf', 'hf', 'chf', 'qtf', 'isf'</v>
      </c>
    </row>
    <row r="4" spans="1:3" ht="13.15">
      <c r="A4" s="5" t="str">
        <f>"a:"</f>
        <v>a:</v>
      </c>
      <c r="B4" s="1" t="str">
        <f>"[15, 10.0, 20.5]"</f>
        <v>[15, 10.0, 20.5]</v>
      </c>
      <c r="C4" s="1"/>
    </row>
    <row r="5" spans="1:3" ht="13.15">
      <c r="A5" s="5" t="str">
        <f>"b:"</f>
        <v>b:</v>
      </c>
      <c r="B5" s="1" t="str">
        <f>"[20.5, 10.0, 5]"</f>
        <v>[20.5, 10.0, 5]</v>
      </c>
      <c r="C5" s="1"/>
    </row>
    <row r="6" spans="1:3" ht="13.15">
      <c r="A6" s="5" t="str">
        <f>"Title:"</f>
        <v>Title:</v>
      </c>
      <c r="B6" s="1" t="str">
        <f>"'Beta distribution'"</f>
        <v>'Beta distribution'</v>
      </c>
      <c r="C6" s="1"/>
    </row>
    <row r="7" spans="1:3" ht="13.15">
      <c r="A7" s="5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 ht="13.15">
      <c r="A10" s="5" t="s">
        <v>37</v>
      </c>
      <c r="B10" s="1" t="s">
        <v>38</v>
      </c>
      <c r="C10" s="1"/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FractionsInput</vt:lpstr>
      <vt:lpstr>DecimalsInput</vt:lpstr>
      <vt:lpstr>Programming</vt:lpstr>
      <vt:lpstr>OutputMonitorCSV</vt:lpstr>
      <vt:lpstr>OutputMonitorSVG</vt:lpstr>
      <vt:lpstr>MpInputDecimals</vt:lpstr>
      <vt:lpstr>MpInputFractions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Dietrich Hadler</dc:creator>
  <cp:lastModifiedBy>Dietrich Hadler</cp:lastModifiedBy>
  <cp:revision>310</cp:revision>
  <dcterms:created xsi:type="dcterms:W3CDTF">2020-06-09T21:24:37Z</dcterms:created>
  <dcterms:modified xsi:type="dcterms:W3CDTF">2026-10-11T18:05:19Z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