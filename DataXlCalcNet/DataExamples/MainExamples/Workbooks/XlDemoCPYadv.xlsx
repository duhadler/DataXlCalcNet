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UHad\Documents\DataXlCalcNet\DataExamples\MainExamples\Workbooks\"/>
    </mc:Choice>
  </mc:AlternateContent>
  <xr:revisionPtr revIDLastSave="0" documentId="13_ncr:1_{1C0F0E19-02DA-4D78-BFD8-665925F997DE}" xr6:coauthVersionLast="47" xr6:coauthVersionMax="47" xr10:uidLastSave="{00000000-0000-0000-0000-000000000000}"/>
  <bookViews>
    <workbookView xWindow="18675" yWindow="0" windowWidth="18923" windowHeight="19928" tabRatio="500" activeTab="2" xr2:uid="{00000000-000D-0000-FFFF-FFFF00000000}"/>
  </bookViews>
  <sheets>
    <sheet name="FractionsInput" sheetId="6" r:id="rId1"/>
    <sheet name="DecimalsInput" sheetId="7" r:id="rId2"/>
    <sheet name="Programming" sheetId="4" r:id="rId3"/>
  </sheets>
  <definedNames>
    <definedName name="matA">#REF!</definedName>
    <definedName name="matB">#REF!</definedName>
    <definedName name="MpDecimalsInput">DecimalsInput!$B$3:$B$18</definedName>
    <definedName name="MpInputDecimals" localSheetId="1">DecimalsInput!$B$3:$B$18</definedName>
    <definedName name="MpInputFractions">FractionsInput!$B$3:$B$18</definedName>
    <definedName name="PYTHONPATH">#REF!</definedName>
    <definedName name="UPDAT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A12" i="4" l="1"/>
  <c r="B3" i="4"/>
  <c r="B30" i="7" a="1"/>
  <c r="B29" i="7" a="1"/>
  <c r="B27" i="7" a="1"/>
  <c r="C27" i="7" s="1" a="1"/>
  <c r="B26" i="7" a="1"/>
  <c r="C26" i="7" s="1" a="1"/>
  <c r="B24" i="7" a="1"/>
  <c r="C24" i="7" s="1" a="1"/>
  <c r="B25" i="7" a="1"/>
  <c r="C25" i="7" s="1" a="1"/>
  <c r="B22" i="7" a="1"/>
  <c r="C22" i="7" s="1" a="1"/>
  <c r="C29" i="7" a="1"/>
  <c r="B21" i="7" a="1"/>
  <c r="C21" i="7" s="1" a="1"/>
  <c r="C30" i="7" a="1"/>
  <c r="C18" i="7" a="1"/>
  <c r="C17" i="7" a="1"/>
  <c r="C16" i="7" a="1"/>
  <c r="C15" i="7" a="1"/>
  <c r="C14" i="7" a="1"/>
  <c r="C13" i="7" a="1"/>
  <c r="C12" i="7" a="1"/>
  <c r="C11" i="7" a="1"/>
  <c r="C10" i="7" a="1"/>
  <c r="C9" i="7" a="1"/>
  <c r="C8" i="7" a="1"/>
  <c r="C7" i="7" a="1"/>
  <c r="C6" i="7" a="1"/>
  <c r="C5" i="7" a="1"/>
  <c r="C4" i="7" a="1"/>
  <c r="C3" i="7" a="1"/>
  <c r="C27" i="6" a="1"/>
  <c r="C26" i="6" a="1"/>
  <c r="C25" i="6" a="1"/>
  <c r="C22" i="6" a="1"/>
  <c r="C21" i="6" a="1"/>
  <c r="B30" i="6" a="1"/>
  <c r="C30" i="6" s="1" a="1"/>
  <c r="B29" i="6" a="1"/>
  <c r="C29" i="6" s="1" a="1"/>
  <c r="B27" i="6" a="1"/>
  <c r="B26" i="6" a="1"/>
  <c r="B25" i="6" a="1"/>
  <c r="B24" i="6" a="1"/>
  <c r="C24" i="6" s="1" a="1"/>
  <c r="B22" i="6" a="1"/>
  <c r="B21" i="6" a="1"/>
  <c r="A17" i="4"/>
  <c r="A22" i="4"/>
  <c r="A8" i="4"/>
  <c r="C18" i="6" a="1"/>
  <c r="C17" i="6" a="1"/>
  <c r="C16" i="6" a="1"/>
  <c r="C15" i="6" a="1"/>
  <c r="C14" i="6" a="1"/>
  <c r="C13" i="6" a="1"/>
  <c r="C12" i="6" a="1"/>
  <c r="C11" i="6" a="1"/>
  <c r="C10" i="6" a="1"/>
  <c r="C9" i="6" a="1"/>
  <c r="C8" i="6" a="1"/>
  <c r="C7" i="6" a="1"/>
  <c r="C6" i="6" a="1"/>
  <c r="C5" i="6" a="1"/>
  <c r="C4" i="6" a="1"/>
  <c r="C3" i="6" a="1"/>
  <c r="B4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<sst xmlns="http://schemas.openxmlformats.org/spreadsheetml/2006/main" count="58" uniqueCount="42">
  <si>
    <t>Simple Loop:</t>
  </si>
  <si>
    <t>Loop with Param1:</t>
  </si>
  <si>
    <t>123456789012345678901234567890</t>
  </si>
  <si>
    <t>Original Data</t>
  </si>
  <si>
    <t>Formatted as Double</t>
  </si>
  <si>
    <t>XlCalcNet:</t>
  </si>
  <si>
    <t>Scipy:</t>
  </si>
  <si>
    <t>CSV Output written to Output Monitor folder (start Output Monitor first!)</t>
  </si>
  <si>
    <t>SVG Output written to Output Monitor folder (start Output Monitor first!)</t>
  </si>
  <si>
    <t>123456789012345 / 678901234567890</t>
  </si>
  <si>
    <t>12345678901234 / 5678901234567890</t>
  </si>
  <si>
    <t>123456789012345678901 / 234567890</t>
  </si>
  <si>
    <t>12345678901234567890 / 1234567890</t>
  </si>
  <si>
    <t>1234567890123456 / 78901234567890</t>
  </si>
  <si>
    <t>1234567890123 / 45678901234567890</t>
  </si>
  <si>
    <t>123456 / 789012345678901234567890</t>
  </si>
  <si>
    <t>1234567890123456789012 / 34567890</t>
  </si>
  <si>
    <t>12345678 / 9012345678901234567890</t>
  </si>
  <si>
    <t>1234 / 56789012345678901234567890</t>
  </si>
  <si>
    <t>1234567890123456789012345 / 67890</t>
  </si>
  <si>
    <t>12345678901 / 2345678901234567890</t>
  </si>
  <si>
    <t>12345678901234567 / 8901234567890</t>
  </si>
  <si>
    <t>Prod:</t>
  </si>
  <si>
    <t>Sum:</t>
  </si>
  <si>
    <t>Median:</t>
  </si>
  <si>
    <t>Average:</t>
  </si>
  <si>
    <t>Mean:</t>
  </si>
  <si>
    <t>Variance:</t>
  </si>
  <si>
    <t>Min:</t>
  </si>
  <si>
    <t>Max:</t>
  </si>
  <si>
    <t>123456789012345.678901234567890</t>
  </si>
  <si>
    <t>1234567890123.45678901234567890</t>
  </si>
  <si>
    <t>123456.789012345678901234567890</t>
  </si>
  <si>
    <t>123456789012345678901.234567890</t>
  </si>
  <si>
    <t>1234567890123456789012.34567890</t>
  </si>
  <si>
    <t>1234567890123456.78901234567890</t>
  </si>
  <si>
    <t>12345678.9012345678901234567890</t>
  </si>
  <si>
    <t>12345678901234567.8901234567890</t>
  </si>
  <si>
    <t>12345678901234567890.1234567890</t>
  </si>
  <si>
    <t>1234.56789012345678901234567890</t>
  </si>
  <si>
    <t>1234567890123456789012345.67890</t>
  </si>
  <si>
    <t>12345678901.2345678901234567890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</si>
</sst>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00000E+00"/>
  </numFmts>
  <fonts count="1" x14ac:knownFonts="1">
    <font>
      <sz val="1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164" fontId="0" fillId="0" borderId="0" xfId="0" applyNumberFormat="1"/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F1AF5-E9DD-47C7-A152-27FF800B6F86}">
  <dimension ref="A2:C30"/>
  <sheetViews>
    <sheetView workbookViewId="0"/>
  </sheetViews>
  <sheetFormatPr defaultRowHeight="12.75" x14ac:dyDescent="0.35"/>
  <cols>
    <col min="1" max="1" width="12.59765625" customWidth="1"/>
    <col min="2" max="2" width="42.73046875" customWidth="1"/>
    <col min="3" max="3" width="21.73046875" bestFit="1" customWidth="1"/>
  </cols>
  <sheetData>
    <row r="2" spans="2:3" x14ac:dyDescent="0.35">
      <c r="B2" t="s">
        <v>3</v>
      </c>
      <c r="C2" t="s">
        <v>4</v>
      </c>
    </row>
    <row r="3" spans="2:3" x14ac:dyDescent="0.35">
      <c r="B3" s="1" t="s">
        <v>10</v>
      </c>
      <c r="C3" s="2" cm="1">
        <f t="array" ref="C3">_xll.ASDOUBLE(B3)</f>
        <v>2.1739555578260358E-3</v>
      </c>
    </row>
    <row r="4" spans="2:3" x14ac:dyDescent="0.35">
      <c r="B4" s="1" t="s">
        <v>9</v>
      </c>
      <c r="C4" s="2" cm="1">
        <f t="array" ref="C4">_xll.ASDOUBLE(B4)</f>
        <v>0.1818479371169848</v>
      </c>
    </row>
    <row r="5" spans="2:3" x14ac:dyDescent="0.35">
      <c r="B5" s="1" t="s">
        <v>14</v>
      </c>
      <c r="C5" s="2" cm="1">
        <f t="array" ref="C5">_xll.ASDOUBLE(B5)</f>
        <v>2.7027092525350202E-5</v>
      </c>
    </row>
    <row r="6" spans="2:3" x14ac:dyDescent="0.35">
      <c r="B6" s="1" t="s">
        <v>15</v>
      </c>
      <c r="C6" s="2" cm="1">
        <f t="array" ref="C6">_xll.ASDOUBLE(B6)</f>
        <v>1.5646903457989998E-19</v>
      </c>
    </row>
    <row r="7" spans="2:3" x14ac:dyDescent="0.35">
      <c r="B7" s="1" t="s">
        <v>11</v>
      </c>
      <c r="C7" s="2" cm="1">
        <f t="array" ref="C7">_xll.ASDOUBLE(B7)</f>
        <v>526315809944.5993</v>
      </c>
    </row>
    <row r="8" spans="2:3" x14ac:dyDescent="0.35">
      <c r="B8" s="1" t="s">
        <v>11</v>
      </c>
      <c r="C8" s="2" cm="1">
        <f t="array" ref="C8">_xll.ASDOUBLE(B8)</f>
        <v>526315809944.5993</v>
      </c>
    </row>
    <row r="9" spans="2:3" x14ac:dyDescent="0.35">
      <c r="B9" s="1" t="s">
        <v>16</v>
      </c>
      <c r="C9" s="2" cm="1">
        <f t="array" ref="C9">_xll.ASDOUBLE(B9)</f>
        <v>35714297000003.664</v>
      </c>
    </row>
    <row r="10" spans="2:3" x14ac:dyDescent="0.35">
      <c r="B10" s="1" t="s">
        <v>13</v>
      </c>
      <c r="C10" s="2" cm="1">
        <f t="array" ref="C10">_xll.ASDOUBLE(B10)</f>
        <v>15.647003457990014</v>
      </c>
    </row>
    <row r="11" spans="2:3" x14ac:dyDescent="0.35">
      <c r="B11" s="1" t="s">
        <v>17</v>
      </c>
      <c r="C11" s="2" cm="1">
        <f t="array" ref="C11">_xll.ASDOUBLE(B11)</f>
        <v>1.3698629013867518E-15</v>
      </c>
    </row>
    <row r="12" spans="2:3" x14ac:dyDescent="0.35">
      <c r="B12" s="1" t="s">
        <v>21</v>
      </c>
      <c r="C12" s="2" cm="1">
        <f t="array" ref="C12">_xll.ASDOUBLE(B12)</f>
        <v>1386.9625395301832</v>
      </c>
    </row>
    <row r="13" spans="2:3" x14ac:dyDescent="0.35">
      <c r="B13" s="1" t="s">
        <v>12</v>
      </c>
      <c r="C13" s="2" cm="1">
        <f t="array" ref="C13">_xll.ASDOUBLE(B13)</f>
        <v>10000000001</v>
      </c>
    </row>
    <row r="14" spans="2:3" x14ac:dyDescent="0.35">
      <c r="B14" s="1" t="s">
        <v>13</v>
      </c>
      <c r="C14" s="2" cm="1">
        <f t="array" ref="C14">_xll.ASDOUBLE(B14)</f>
        <v>15.647003457990014</v>
      </c>
    </row>
    <row r="15" spans="2:3" x14ac:dyDescent="0.35">
      <c r="B15" s="1" t="s">
        <v>18</v>
      </c>
      <c r="C15" s="2" cm="1">
        <f t="array" ref="C15">_xll.ASDOUBLE(B15)</f>
        <v>2.1729555578261356E-23</v>
      </c>
    </row>
    <row r="16" spans="2:3" x14ac:dyDescent="0.35">
      <c r="B16" s="1" t="s">
        <v>19</v>
      </c>
      <c r="C16" s="2" cm="1">
        <f t="array" ref="C16">_xll.ASDOUBLE(B16)</f>
        <v>1.8184826780430944E+19</v>
      </c>
    </row>
    <row r="17" spans="1:3" x14ac:dyDescent="0.35">
      <c r="B17" s="1" t="s">
        <v>9</v>
      </c>
      <c r="C17" s="2" cm="1">
        <f t="array" ref="C17">_xll.ASDOUBLE(B17)</f>
        <v>0.1818479371169848</v>
      </c>
    </row>
    <row r="18" spans="1:3" x14ac:dyDescent="0.35">
      <c r="B18" s="1" t="s">
        <v>20</v>
      </c>
      <c r="C18" s="2" cm="1">
        <f t="array" ref="C18">_xll.ASDOUBLE(B18)</f>
        <v>5.2631580965759095E-9</v>
      </c>
    </row>
    <row r="21" spans="1:3" x14ac:dyDescent="0.35">
      <c r="A21" s="3" t="s">
        <v>22</v>
      </c>
      <c r="B21" t="str" cm="1">
        <f t="array" ref="B21">_xll.CPY_1("from xlcalcnet import npm, qpm $n x = npm.array(P1, dtype=qpm); result=str(npm.prod(x))",MpInputFractions)</f>
        <v>190018125514876088955224106518400221345952240439116674051216983384786725609691589863287639839146082672947981737488915381755991008017632869697570716098709604227370512164347238197116336772211981870848/6530618589748757969047941143458327495945465139158098704575064414193558706359502850775410593218609820007999065690593691315922085265330983365667510198760316426280573603112185519094244149744372314453125</v>
      </c>
      <c r="C21" cm="1">
        <f t="array" ref="C21">_xll.CPY_1("from xlcalcnet import npm, qpm $n x = npm.array(P1, dtype=qpm); result=float(npm.prod(x))",MpInputFractions)</f>
        <v>2.9096497200609958E-2</v>
      </c>
    </row>
    <row r="22" spans="1:3" x14ac:dyDescent="0.35">
      <c r="A22" s="3" t="s">
        <v>23</v>
      </c>
      <c r="B22" t="str" cm="1">
        <f t="array" ref="B22">_xll.CPY_1("from xlcalcnet import npm, qpm $n x = npm.array(P1, dtype=qpm); result=str(npm.sum(x))",MpInputFractions)</f>
        <v>164496122467480924907368884719850339196807989250775784520809631091899784165891682152271099639262126708760716900236729794313190630035201496706833666597353346491477813015245502446357606/9045771608272968198370581993147209595586077715878587713303230779377072555571602171603483070075220734152954836699083857573183455030428131436190293070332196423447235</v>
      </c>
      <c r="C22" cm="1">
        <f t="array" ref="C22">_xll.CPY_1("from xlcalcnet import npm, qpm $n x = npm.array(P1, dtype=qpm); result=float(npm.sum(x))",MpInputFractions)</f>
        <v>1.8184863557359565E+19</v>
      </c>
    </row>
    <row r="24" spans="1:3" x14ac:dyDescent="0.35">
      <c r="A24" s="3" t="s">
        <v>24</v>
      </c>
      <c r="B24" t="str" cm="1">
        <f t="array" ref="B24">_xll.CPY_1("from xlcalcnet import npm, qpm $n x = npm.array(P1, dtype=qpm); result=str(npm.median(x))",MpInputFractions)</f>
        <v>1345858028304049186528355603/170051255736733967857203340</v>
      </c>
      <c r="C24" cm="1">
        <f t="array" ref="C24">_xll.ASDOUBLE(B24)</f>
        <v>7.914425697553499</v>
      </c>
    </row>
    <row r="25" spans="1:3" x14ac:dyDescent="0.35">
      <c r="A25" s="3" t="s">
        <v>25</v>
      </c>
      <c r="B25" t="str" cm="1">
        <f t="array" ref="B25">_xll.CPY_1("from xlcalcnet import npm, qpm $n x = npm.array(P1, dtype=qpm); result=str(npm.average(x))",MpInputFractions)</f>
        <v>82248061233740462453684442359925169598403994625387892260404815545949892082945841076135549819631063354380358450118364897156595315017600748353416833298676673245738906507622751223178803/72366172866183745586964655945177676764688621727028701706425846235016580444572817372827864560601765873223638693592670860585467640243425051489522344562657571387577880</v>
      </c>
      <c r="C25" cm="1">
        <f t="array" ref="C25">_xll.CPY_1("from xlcalcnet import npm, qpm $n x = npm.array(P1, dtype=qpm); result=float(npm.average(x))",MpInputFractions)</f>
        <v>1.1365539723349728E+18</v>
      </c>
    </row>
    <row r="26" spans="1:3" x14ac:dyDescent="0.35">
      <c r="A26" s="3" t="s">
        <v>26</v>
      </c>
      <c r="B26" t="str" cm="1">
        <f t="array" ref="B26">_xll.CPY_1("from xlcalcnet import npm, qpm $n x = npm.array(P1, dtype=qpm); result=str(npm.mean(x))",MpInputFractions)</f>
        <v>82248061233740462453684442359925169598403994625387892260404815545949892082945841076135549819631063354380358450118364897156595315017600748353416833298676673245738906507622751223178803/72366172866183745586964655945177676764688621727028701706425846235016580444572817372827864560601765873223638693592670860585467640243425051489522344562657571387577880</v>
      </c>
      <c r="C26" cm="1">
        <f t="array" ref="C26">_xll.CPY_1("from xlcalcnet import npm, qpm $n x = npm.array(P1, dtype=qpm); result=float(npm.mean(x))",MpInputFractions)</f>
        <v>1.1365539723349728E+18</v>
      </c>
    </row>
    <row r="27" spans="1:3" x14ac:dyDescent="0.35">
      <c r="A27" s="3" t="s">
        <v>27</v>
      </c>
      <c r="B27" t="str" cm="1">
        <f t="array" ref="B27">_xll.CPY_1("from xlcalcnet import npm, qpm $n x = npm.array(P1, dtype=qpm); result=str(npm.var(x))",MpInputFractions)</f>
        <v>101470715860599911527282563915143589066601832998473184214031847149330030490374938574496117829827658303058888910635720340823857268974519451575915748195428419448012870965033329059805527231414189444571812590248238425079942697114172616873641585687069156681937773506057401685115472576997416769703423727393274070044226050638132002375656259186009011920614310200655338243967/5236862975298388583775331619162613737616257482397944211194776444053202104250403274176530041299116449013964372310351469202706807213801580450697301375708670839270417718554707186521953960606903088266544009180217061339249258746686956151403863676667083136537199137209899766804556431228203286842215157516215240068738218475573065294400</v>
      </c>
      <c r="C27" cm="1">
        <f t="array" ref="C27">_xll.CPY_1("from xlcalcnet import npm, qpm $n x = npm.array(P1, dtype=qpm); result=float(npm.var(x))",MpInputFractions)</f>
        <v>1.9376240382691751E+37</v>
      </c>
    </row>
    <row r="29" spans="1:3" x14ac:dyDescent="0.35">
      <c r="A29" s="3" t="s">
        <v>28</v>
      </c>
      <c r="B29" t="str" cm="1">
        <f t="array" ref="B29">_xll.CPY_1("from xlcalcnet import npm, qpm $n x = npm.array(P1, dtype=qpm); result=str(npm.min(x))",MpInputFractions)</f>
        <v>617/28394506172839450617283945</v>
      </c>
      <c r="C29" cm="1">
        <f t="array" ref="C29">_xll.ASDOUBLE(B29)</f>
        <v>2.1729555578261356E-23</v>
      </c>
    </row>
    <row r="30" spans="1:3" x14ac:dyDescent="0.35">
      <c r="A30" s="3" t="s">
        <v>29</v>
      </c>
      <c r="B30" t="str" cm="1">
        <f t="array" ref="B30">_xll.CPY_1("from xlcalcnet import npm, qpm $n x = npm.array(P1, dtype=qpm); result=str(npm.max(x))",MpInputFractions)</f>
        <v>2654984709942917825833/146</v>
      </c>
      <c r="C30" cm="1">
        <f t="array" ref="C30">_xll.ASDOUBLE(B30)</f>
        <v>1.8184826780430944E+19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57DC0-2466-42B9-8288-6D266B82EB11}">
  <dimension ref="A2:C30"/>
  <sheetViews>
    <sheetView workbookViewId="0"/>
  </sheetViews>
  <sheetFormatPr defaultRowHeight="12.75" x14ac:dyDescent="0.35"/>
  <cols>
    <col min="1" max="1" width="12.59765625" customWidth="1"/>
    <col min="2" max="2" width="42.73046875" customWidth="1"/>
    <col min="3" max="3" width="24.06640625" customWidth="1"/>
  </cols>
  <sheetData>
    <row r="2" spans="2:3" x14ac:dyDescent="0.35">
      <c r="B2" t="s">
        <v>3</v>
      </c>
      <c r="C2" t="s">
        <v>4</v>
      </c>
    </row>
    <row r="3" spans="2:3" x14ac:dyDescent="0.35">
      <c r="B3" s="1" t="s">
        <v>39</v>
      </c>
      <c r="C3" s="2" cm="1">
        <f t="array" ref="C3">_xll.ASDOUBLE(B3)</f>
        <v>1234.5678901234569</v>
      </c>
    </row>
    <row r="4" spans="2:3" x14ac:dyDescent="0.35">
      <c r="B4" s="1" t="s">
        <v>2</v>
      </c>
      <c r="C4" s="2" cm="1">
        <f t="array" ref="C4">_xll.ASDOUBLE(B4)</f>
        <v>1.2345678901234568E+29</v>
      </c>
    </row>
    <row r="5" spans="2:3" x14ac:dyDescent="0.35">
      <c r="B5" s="1" t="s">
        <v>31</v>
      </c>
      <c r="C5" s="2" cm="1">
        <f t="array" ref="C5">_xll.ASDOUBLE(B5)</f>
        <v>1234567890123.4568</v>
      </c>
    </row>
    <row r="6" spans="2:3" x14ac:dyDescent="0.35">
      <c r="B6" s="1" t="s">
        <v>32</v>
      </c>
      <c r="C6" s="2" cm="1">
        <f t="array" ref="C6">_xll.ASDOUBLE(B6)</f>
        <v>123456.78901234567</v>
      </c>
    </row>
    <row r="7" spans="2:3" x14ac:dyDescent="0.35">
      <c r="B7" s="1" t="s">
        <v>33</v>
      </c>
      <c r="C7" s="2" cm="1">
        <f t="array" ref="C7">_xll.ASDOUBLE(B7)</f>
        <v>1.2345678901234568E+20</v>
      </c>
    </row>
    <row r="8" spans="2:3" x14ac:dyDescent="0.35">
      <c r="B8" s="1" t="s">
        <v>33</v>
      </c>
      <c r="C8" s="2" cm="1">
        <f t="array" ref="C8">_xll.ASDOUBLE(B8)</f>
        <v>1.2345678901234568E+20</v>
      </c>
    </row>
    <row r="9" spans="2:3" x14ac:dyDescent="0.35">
      <c r="B9" s="1" t="s">
        <v>34</v>
      </c>
      <c r="C9" s="2" cm="1">
        <f t="array" ref="C9">_xll.ASDOUBLE(B9)</f>
        <v>1.2345678901234568E+21</v>
      </c>
    </row>
    <row r="10" spans="2:3" x14ac:dyDescent="0.35">
      <c r="B10" s="1" t="s">
        <v>35</v>
      </c>
      <c r="C10" s="2" cm="1">
        <f t="array" ref="C10">_xll.ASDOUBLE(B10)</f>
        <v>1234567890123456.8</v>
      </c>
    </row>
    <row r="11" spans="2:3" x14ac:dyDescent="0.35">
      <c r="B11" s="1" t="s">
        <v>36</v>
      </c>
      <c r="C11" s="2" cm="1">
        <f t="array" ref="C11">_xll.ASDOUBLE(B11)</f>
        <v>12345678.901234567</v>
      </c>
    </row>
    <row r="12" spans="2:3" x14ac:dyDescent="0.35">
      <c r="B12" s="1" t="s">
        <v>37</v>
      </c>
      <c r="C12" s="2" cm="1">
        <f t="array" ref="C12">_xll.ASDOUBLE(B12)</f>
        <v>1.2345678901234568E+16</v>
      </c>
    </row>
    <row r="13" spans="2:3" x14ac:dyDescent="0.35">
      <c r="B13" s="1" t="s">
        <v>38</v>
      </c>
      <c r="C13" s="2" cm="1">
        <f t="array" ref="C13">_xll.ASDOUBLE(B13)</f>
        <v>1.2345678901234567E+19</v>
      </c>
    </row>
    <row r="14" spans="2:3" x14ac:dyDescent="0.35">
      <c r="B14" s="1" t="s">
        <v>35</v>
      </c>
      <c r="C14" s="2" cm="1">
        <f t="array" ref="C14">_xll.ASDOUBLE(B14)</f>
        <v>1234567890123456.8</v>
      </c>
    </row>
    <row r="15" spans="2:3" x14ac:dyDescent="0.35">
      <c r="B15" s="1" t="s">
        <v>39</v>
      </c>
      <c r="C15" s="2" cm="1">
        <f t="array" ref="C15">_xll.ASDOUBLE(B15)</f>
        <v>1234.5678901234569</v>
      </c>
    </row>
    <row r="16" spans="2:3" x14ac:dyDescent="0.35">
      <c r="B16" s="1" t="s">
        <v>40</v>
      </c>
      <c r="C16" s="2" cm="1">
        <f t="array" ref="C16">_xll.ASDOUBLE(B16)</f>
        <v>1.2345678901234568E+24</v>
      </c>
    </row>
    <row r="17" spans="1:3" x14ac:dyDescent="0.35">
      <c r="B17" s="1" t="s">
        <v>30</v>
      </c>
      <c r="C17" s="2" cm="1">
        <f t="array" ref="C17">_xll.ASDOUBLE(B17)</f>
        <v>123456789012345.67</v>
      </c>
    </row>
    <row r="18" spans="1:3" x14ac:dyDescent="0.35">
      <c r="B18" s="1" t="s">
        <v>41</v>
      </c>
      <c r="C18" s="2" cm="1">
        <f t="array" ref="C18">_xll.ASDOUBLE(B18)</f>
        <v>12345678901.234568</v>
      </c>
    </row>
    <row r="21" spans="1:3" x14ac:dyDescent="0.35">
      <c r="A21" s="3" t="s">
        <v>22</v>
      </c>
      <c r="B21" t="str" cm="1">
        <f t="array" ref="B21">_xll.CPY_1("from xlcalcnet import npm, dpm $n dpm.dps = 30; x = npm.array(P1, dtype=dpm); result=str(npm.prod(x))",MpInputDecimals)</f>
        <v>2.91232363938162659138272892973E+234</v>
      </c>
      <c r="C21" s="2" cm="1">
        <f t="array" ref="C21">_xll.ASDOUBLE(B21)</f>
        <v>2.9123236393816265E+234</v>
      </c>
    </row>
    <row r="22" spans="1:3" x14ac:dyDescent="0.35">
      <c r="A22" s="3" t="s">
        <v>23</v>
      </c>
      <c r="B22" t="str" cm="1">
        <f t="array" ref="B22">_xll.CPY_1("from xlcalcnet import npm, dpm $n dpm.dps = 30; x = npm.array(P1, dtype=dpm); result=str(npm.sum(x))",MpInputDecimals)</f>
        <v>123458025074077888925802829398</v>
      </c>
      <c r="C22" s="2" cm="1">
        <f t="array" ref="C22">_xll.ASDOUBLE(B22)</f>
        <v>1.2345802507407789E+29</v>
      </c>
    </row>
    <row r="24" spans="1:3" x14ac:dyDescent="0.35">
      <c r="A24" s="3" t="s">
        <v>24</v>
      </c>
      <c r="B24" t="str" cm="1">
        <f t="array" ref="B24">_xll.CPY_1("from xlcalcnet import npm, dpm $n dpm.dps = 30; x = npm.array(P1, dtype=dpm); result=str(npm.median(x))",MpInputDecimals)</f>
        <v>1234567890123456.78901234567890</v>
      </c>
      <c r="C24" s="2" cm="1">
        <f t="array" ref="C24">_xll.ASDOUBLE(B24)</f>
        <v>1234567890123456.8</v>
      </c>
    </row>
    <row r="25" spans="1:3" x14ac:dyDescent="0.35">
      <c r="A25" s="3" t="s">
        <v>25</v>
      </c>
      <c r="B25" t="str" cm="1">
        <f t="array" ref="B25">_xll.CPY_1("from xlcalcnet import npm, dpm $n dpm.dps = 30; x = npm.array(P1, dtype=dpm); result=str(npm.average(x))",MpInputDecimals)</f>
        <v>7716126567129868057862676837.38</v>
      </c>
      <c r="C25" s="2" cm="1">
        <f t="array" ref="C25">_xll.ASDOUBLE(B25)</f>
        <v>7.7161265671298682E+27</v>
      </c>
    </row>
    <row r="26" spans="1:3" x14ac:dyDescent="0.35">
      <c r="A26" s="3" t="s">
        <v>26</v>
      </c>
      <c r="B26" t="str" cm="1">
        <f t="array" ref="B26">_xll.CPY_1("from xlcalcnet import npm, dpm $n dpm.dps = 30; x = npm.array(P1, dtype=dpm); result=str(npm.mean(x))",MpInputDecimals)</f>
        <v>7716126567129868057862676837.38</v>
      </c>
      <c r="C26" s="2" cm="1">
        <f t="array" ref="C26">_xll.ASDOUBLE(B26)</f>
        <v>7.7161265671298682E+27</v>
      </c>
    </row>
    <row r="27" spans="1:3" x14ac:dyDescent="0.35">
      <c r="A27" s="3" t="s">
        <v>27</v>
      </c>
      <c r="B27" t="str" cm="1">
        <f t="array" ref="B27">_xll.CPY_1("from xlcalcnet import npm, dpm $n dpm.dps = 30; x = npm.array(P1, dtype=dpm); result=str(npm.var(x))",MpInputDecimals)</f>
        <v>8.93060062972719899056318097025E+56</v>
      </c>
      <c r="C27" s="2" cm="1">
        <f t="array" ref="C27">_xll.ASDOUBLE(B27)</f>
        <v>8.930600629727199E+56</v>
      </c>
    </row>
    <row r="29" spans="1:3" x14ac:dyDescent="0.35">
      <c r="A29" s="3" t="s">
        <v>28</v>
      </c>
      <c r="B29" t="str" cm="1">
        <f t="array" ref="B29">_xll.CPY_1("from xlcalcnet import npm, dpm $n dpm.dps = 30; x = npm.array(P1, dtype=dpm); result=str(npm.mean(x))",MpInputDecimals)</f>
        <v>7716126567129868057862676837.38</v>
      </c>
      <c r="C29" s="2" cm="1">
        <f t="array" ref="C29">_xll.ASDOUBLE(B29)</f>
        <v>7.7161265671298682E+27</v>
      </c>
    </row>
    <row r="30" spans="1:3" x14ac:dyDescent="0.35">
      <c r="A30" s="3" t="s">
        <v>29</v>
      </c>
      <c r="B30" t="str" cm="1">
        <f t="array" ref="B30">_xll.CPY_1("from xlcalcnet import npm, dpm $n dpm.dps = 30; x = npm.array(P1, dtype=dpm); result=str(npm.max(x))",MpInputDecimals)</f>
        <v>123456789012345678901234567890</v>
      </c>
      <c r="C30" s="2" cm="1">
        <f t="array" ref="C30">_xll.ASDOUBLE(B30)</f>
        <v>1.2345678901234568E+29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C22"/>
  <sheetViews>
    <sheetView tabSelected="1" zoomScaleNormal="100" workbookViewId="0">
      <selection activeCell="A12" sqref="A12"/>
    </sheetView>
  </sheetViews>
  <sheetFormatPr defaultColWidth="11.53125" defaultRowHeight="12.75" x14ac:dyDescent="0.35"/>
  <cols>
    <col min="1" max="1" width="16.53125" customWidth="1"/>
    <col min="4" max="4" width="27.33203125" customWidth="1"/>
    <col min="5" max="5" width="25.06640625" customWidth="1"/>
  </cols>
  <sheetData>
    <row r="3" spans="1:3" x14ac:dyDescent="0.35">
      <c r="A3" t="s">
        <v>0</v>
      </c>
      <c r="B3">
        <f>_xll.CPY_0("temp = 0 $n for i in range(14): $n$t temp += i $n result = 2 * temp")</f>
        <v>182</v>
      </c>
    </row>
    <row r="4" spans="1:3" x14ac:dyDescent="0.35">
      <c r="A4" t="s">
        <v>1</v>
      </c>
      <c r="B4">
        <f>_xll.CPY_1("temp = 0 $n for i in range(int(P1)): $n$t temp += i $n result = 2 * temp", C4)</f>
        <v>1980</v>
      </c>
      <c r="C4">
        <v>45</v>
      </c>
    </row>
    <row r="7" spans="1:3" x14ac:dyDescent="0.35">
      <c r="A7" t="s">
        <v>5</v>
      </c>
    </row>
    <row r="8" spans="1:3" x14ac:dyDescent="0.35">
      <c r="A8" t="str">
        <f>_xll.CPY_0("from xlcalcnet import mpm $n  mpm.dps=50 $n result  = str(mpm.sqrt(2))")</f>
        <v>1.4142135623730950488016887242096980785696718753769</v>
      </c>
    </row>
    <row r="11" spans="1:3" x14ac:dyDescent="0.35">
      <c r="A11" t="s">
        <v>6</v>
      </c>
    </row>
    <row r="12" spans="1:3" x14ac:dyDescent="0.35">
      <c r="A12" t="str">
        <f>_xll.CPY_0("from scipy.integrate import quad $n def integrand(x, a, b): return  a*x**2 + b $n a = 2.1; b = 1.1;  $n I = quad(integrand, 0, 1, args=(a,b))   $n result = str(I) ")</f>
        <v>Exception: No module named 'scipy'</v>
      </c>
    </row>
    <row r="16" spans="1:3" x14ac:dyDescent="0.35">
      <c r="A16" t="s">
        <v>7</v>
      </c>
    </row>
    <row r="17" spans="1:1" x14ac:dyDescent="0.35">
      <c r="A17" t="str">
        <f>_xll.CPY_0( "from A06_UserlibExamplesPython.B29_InferentialStatistics.C01_BasicTests1Sample import D01_StudentT_PValues $n D01_StudentT_PValues.demo_stats_student_t_1sample_test() $n result='Done'")</f>
        <v>Done</v>
      </c>
    </row>
    <row r="21" spans="1:1" x14ac:dyDescent="0.35">
      <c r="A21" t="s">
        <v>8</v>
      </c>
    </row>
    <row r="22" spans="1:1" x14ac:dyDescent="0.35">
      <c r="A22" t="str">
        <f>_xll.CPY_0( "from A01_ExamplesPython.B18_FunctionsAndCurvesPlots.C02_BasicCurves import D01_RegularConvexPolygon  $n D01_RegularConvexPolygon.RegularConvexPolygon(OutputMode='svg') $n result='Done'")</f>
        <v>Done</v>
      </c>
    </row>
  </sheetData>
  <pageMargins left="0.78749999999999998" right="0.78749999999999998" top="0.78749999999999998" bottom="0.78749999999999998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FractionsInput</vt:lpstr>
      <vt:lpstr>DecimalsInput</vt:lpstr>
      <vt:lpstr>Programming</vt:lpstr>
      <vt:lpstr>MpDecimalsInput</vt:lpstr>
      <vt:lpstr>DecimalsInput!MpInputDecimals</vt:lpstr>
      <vt:lpstr>MpInputFractions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dietrichhadler</dc:creator>
  <dc:description/>
  <cp:lastModifiedBy>Dietrich Hadler</cp:lastModifiedBy>
  <cp:revision>222</cp:revision>
  <dcterms:created xsi:type="dcterms:W3CDTF">2020-06-09T21:24:37Z</dcterms:created>
  <dcterms:modified xsi:type="dcterms:W3CDTF">2026-10-05T07:02:01Z</dcterms:modified>
  <dc:language>en-GB</dc:language>
</cp:coreProperties>
</file>