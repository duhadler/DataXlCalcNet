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Had\Documents\DataXlCalcNet\DataExamples\MainExamples\Workbooks\"/>
    </mc:Choice>
  </mc:AlternateContent>
  <xr:revisionPtr revIDLastSave="0" documentId="13_ncr:1_{DB08F05F-AFDB-41C0-8930-93BAD4DDCCFC}" xr6:coauthVersionLast="47" xr6:coauthVersionMax="47" xr10:uidLastSave="{00000000-0000-0000-0000-000000000000}"/>
  <bookViews>
    <workbookView xWindow="-83" yWindow="0" windowWidth="18923" windowHeight="19928" xr2:uid="{D1AD1D0F-8D38-4AC9-9C06-62EFBEFC0648}"/>
  </bookViews>
  <sheets>
    <sheet name="Student_t_1sample_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 a="1"/>
  <c r="B8" i="1"/>
  <c r="B4" i="1"/>
  <c r="B6" i="1"/>
  <c r="B7" i="1"/>
  <c r="A8" i="1"/>
  <c r="A7" i="1"/>
  <c r="A6" i="1"/>
  <c r="B5" i="1"/>
  <c r="A5" i="1"/>
  <c r="A4" i="1"/>
  <c r="B3" i="1"/>
  <c r="A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<sst xmlns="http://schemas.openxmlformats.org/spreadsheetml/2006/main" count="1" uniqueCount="1">
  <si>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Students t-test, 1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</si>
</sst>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9">
    <xf numFmtId="0" fontId="0" fillId="0" borderId="0" xfId="0"/>
    <xf numFmtId="0" fontId="3" fillId="0" borderId="0" xfId="1" applyFont="1" applyAlignment="1">
      <alignment horizontal="right"/>
    </xf>
    <xf numFmtId="0" fontId="2" fillId="0" borderId="0" xfId="1"/>
    <xf numFmtId="0" fontId="3" fillId="0" borderId="0" xfId="1" applyFont="1"/>
    <xf numFmtId="0" fontId="1" fillId="0" borderId="0" xfId="0" applyFont="1"/>
    <xf numFmtId="0" fontId="3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2">
    <cellStyle name="Default" xfId="1" xr:uid="{D70B4E6A-1993-48D5-8798-2F1FBE0180F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51DF-E94E-4B0F-AFE7-F3473E013BA6}">
  <dimension ref="A1:V30"/>
  <sheetViews>
    <sheetView tabSelected="1" workbookViewId="0">
      <selection activeCell="A33" sqref="A33"/>
    </sheetView>
  </sheetViews>
  <sheetFormatPr defaultRowHeight="14.25" x14ac:dyDescent="0.45"/>
  <cols>
    <col min="1" max="1" width="26.59765625" customWidth="1"/>
    <col min="2" max="2" width="15.06640625" customWidth="1"/>
    <col min="3" max="3" width="15.6640625" customWidth="1"/>
    <col min="4" max="4" width="16.6640625" customWidth="1"/>
    <col min="5" max="5" width="14.46484375" customWidth="1"/>
  </cols>
  <sheetData>
    <row r="1" spans="1:22" x14ac:dyDescent="0.45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45">
      <c r="A3" s="1" t="str">
        <f>"n:"</f>
        <v>n:</v>
      </c>
      <c r="B3" s="2" t="str">
        <f>"[10, 20, 30]"</f>
        <v>[10, 20, 30]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45">
      <c r="A4" s="1" t="str">
        <f>"mu0:"</f>
        <v>mu0:</v>
      </c>
      <c r="B4" s="2" t="str">
        <f>"1.1"</f>
        <v>1.1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45">
      <c r="A5" s="1" t="str">
        <f>"mean:"</f>
        <v>mean:</v>
      </c>
      <c r="B5" s="2" t="str">
        <f>"[4.5,4.7]"</f>
        <v>[4.5,4.7]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45">
      <c r="A6" s="1" t="str">
        <f>"std:"</f>
        <v>std:</v>
      </c>
      <c r="B6" s="2" t="str">
        <f>"[1,2,3,4]"</f>
        <v>[1,2,3,4]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</row>
    <row r="7" spans="1:22" x14ac:dyDescent="0.45">
      <c r="A7" s="1" t="str">
        <f>"alpha:"</f>
        <v>alpha:</v>
      </c>
      <c r="B7" s="2" t="str">
        <f>"0.05"</f>
        <v>0.05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45">
      <c r="A8" s="1" t="str">
        <f>"Options:"</f>
        <v>Options:</v>
      </c>
      <c r="B8" s="2" t="str">
        <f>",I=True, D=True, T=True, C=True, Onesided=True, Twosided = True, OutputMode='list'"</f>
        <v>,I=True, D=True, T=True, C=True, Onesided=True, Twosided = True, OutputMode='list'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1" spans="1:22" s="4" customFormat="1" x14ac:dyDescent="0.45">
      <c r="A11" s="5" t="str" cm="1">
        <f t="array" ref="A11:E30">_xll.CPY_0(_xlfn.TEXTJOIN(" ",1,"from A06_UserlibExamplesPython.B29_InferentialStatistics.C01_BasicTests1Sample import D01_StudentT_PValues $n importlib.reload(D01_StudentT_PValues) $n  result=D01_StudentT_PValues.stats_student_t_1sample_test(n=",B3,", mu0=",B4,", mean=",B5,",  std=",B6,", alpha=", B7, B8, ")",""))</f>
        <v>Item</v>
      </c>
      <c r="B11" s="6" t="str">
        <v>Group1</v>
      </c>
      <c r="C11" s="6" t="str">
        <v>Group2</v>
      </c>
      <c r="D11" s="6" t="str">
        <v>Group3</v>
      </c>
      <c r="E11" s="6" t="str">
        <v>Group4</v>
      </c>
    </row>
    <row r="12" spans="1:22" x14ac:dyDescent="0.45">
      <c r="A12" s="7" t="str">
        <v>n</v>
      </c>
      <c r="B12" s="8" t="str">
        <v>10.0</v>
      </c>
      <c r="C12" s="8" t="str">
        <v>20.0</v>
      </c>
      <c r="D12" s="8" t="str">
        <v>30.0</v>
      </c>
      <c r="E12" s="8" t="str">
        <v>30.0</v>
      </c>
    </row>
    <row r="13" spans="1:22" x14ac:dyDescent="0.45">
      <c r="A13" s="7" t="str">
        <v>mean</v>
      </c>
      <c r="B13" s="8" t="str">
        <v>4.5</v>
      </c>
      <c r="C13" s="8" t="str">
        <v>4.7</v>
      </c>
      <c r="D13" s="8" t="str">
        <v>4.7</v>
      </c>
      <c r="E13" s="8" t="str">
        <v>4.7</v>
      </c>
    </row>
    <row r="14" spans="1:22" x14ac:dyDescent="0.45">
      <c r="A14" s="7" t="str">
        <v>μ0</v>
      </c>
      <c r="B14" s="8" t="str">
        <v>1.1</v>
      </c>
      <c r="C14" s="8" t="str">
        <v>1.1</v>
      </c>
      <c r="D14" s="8" t="str">
        <v>1.1</v>
      </c>
      <c r="E14" s="8" t="str">
        <v>1.1</v>
      </c>
    </row>
    <row r="15" spans="1:22" x14ac:dyDescent="0.45">
      <c r="A15" s="7" t="str">
        <v>stdev</v>
      </c>
      <c r="B15" s="8" t="str">
        <v>1.0</v>
      </c>
      <c r="C15" s="8" t="str">
        <v>2.0</v>
      </c>
      <c r="D15" s="8" t="str">
        <v>3.0</v>
      </c>
      <c r="E15" s="8" t="str">
        <v>4.0</v>
      </c>
    </row>
    <row r="16" spans="1:22" x14ac:dyDescent="0.45">
      <c r="A16" s="7" t="str">
        <v>alpha</v>
      </c>
      <c r="B16" s="8" t="str">
        <v>0.05</v>
      </c>
      <c r="C16" s="8" t="str">
        <v>0.05</v>
      </c>
      <c r="D16" s="8" t="str">
        <v>0.05</v>
      </c>
      <c r="E16" s="8" t="str">
        <v>0.05</v>
      </c>
    </row>
    <row r="17" spans="1:5" x14ac:dyDescent="0.45">
      <c r="A17" s="7" t="str">
        <v>degrees of freedom</v>
      </c>
      <c r="B17" s="8" t="str">
        <v>9.0</v>
      </c>
      <c r="C17" s="8" t="str">
        <v>19.0</v>
      </c>
      <c r="D17" s="8" t="str">
        <v>29.0</v>
      </c>
      <c r="E17" s="8" t="str">
        <v>29.0</v>
      </c>
    </row>
    <row r="18" spans="1:5" x14ac:dyDescent="0.45">
      <c r="A18" s="7" t="str">
        <v>difference of means</v>
      </c>
      <c r="B18" s="8" t="str">
        <v>3.4</v>
      </c>
      <c r="C18" s="8" t="str">
        <v>3.6</v>
      </c>
      <c r="D18" s="8" t="str">
        <v>3.6</v>
      </c>
      <c r="E18" s="8" t="str">
        <v>3.6</v>
      </c>
    </row>
    <row r="19" spans="1:5" x14ac:dyDescent="0.45">
      <c r="A19" s="7" t="str">
        <v>rho-tilde = (mean-mu0)/stdev</v>
      </c>
      <c r="B19" s="8" t="str">
        <v>3.4</v>
      </c>
      <c r="C19" s="8" t="str">
        <v>1.8</v>
      </c>
      <c r="D19" s="8" t="str">
        <v>1.2</v>
      </c>
      <c r="E19" s="8" t="str">
        <v>0.9</v>
      </c>
    </row>
    <row r="20" spans="1:5" x14ac:dyDescent="0.45">
      <c r="A20" s="7" t="str">
        <v>t-value (=delta)</v>
      </c>
      <c r="B20" s="8" t="str">
        <v>10.75174404</v>
      </c>
      <c r="C20" s="8" t="str">
        <v>8.049844719</v>
      </c>
      <c r="D20" s="8" t="str">
        <v>6.57267069</v>
      </c>
      <c r="E20" s="8" t="str">
        <v>4.929503018</v>
      </c>
    </row>
    <row r="21" spans="1:5" x14ac:dyDescent="0.45">
      <c r="A21" s="7" t="str">
        <v>t(1-alpha, 1-sided)</v>
      </c>
      <c r="B21" s="8" t="str">
        <v>1.833112933</v>
      </c>
      <c r="C21" s="8" t="str">
        <v>1.729132812</v>
      </c>
      <c r="D21" s="8" t="str">
        <v>1.699127027</v>
      </c>
      <c r="E21" s="8" t="str">
        <v>1.699127027</v>
      </c>
    </row>
    <row r="22" spans="1:5" x14ac:dyDescent="0.45">
      <c r="A22" s="7" t="str">
        <v>t(1-alpha, 2-sided)</v>
      </c>
      <c r="B22" s="8" t="str">
        <v>2.262157163</v>
      </c>
      <c r="C22" s="8" t="str">
        <v>2.093024054</v>
      </c>
      <c r="D22" s="8" t="str">
        <v>2.045229642</v>
      </c>
      <c r="E22" s="8" t="str">
        <v>2.045229642</v>
      </c>
    </row>
    <row r="23" spans="1:5" x14ac:dyDescent="0.45">
      <c r="A23" s="7" t="str">
        <v>test, p-value (H01: μ1 ≥ μ0)</v>
      </c>
      <c r="B23" s="8" t="str">
        <v>0.9999990244</v>
      </c>
      <c r="C23" s="8" t="str">
        <v>0.9999999236</v>
      </c>
      <c r="D23" s="8" t="str">
        <v>0.9999998323</v>
      </c>
      <c r="E23" s="8" t="str">
        <v>0.9999845715</v>
      </c>
    </row>
    <row r="24" spans="1:5" x14ac:dyDescent="0.45">
      <c r="A24" s="7" t="str">
        <v>test, p-value (H02: μ1 ≤ μ0)</v>
      </c>
      <c r="B24" s="8" t="str">
        <v>9.755717864e-7</v>
      </c>
      <c r="C24" s="8" t="str">
        <v>7.640342437e-8</v>
      </c>
      <c r="D24" s="8" t="str">
        <v>1.676890183e-7</v>
      </c>
      <c r="E24" s="8" t="str">
        <v>1.542852988e-5</v>
      </c>
    </row>
    <row r="25" spans="1:5" x14ac:dyDescent="0.45">
      <c r="A25" s="7" t="str">
        <v>test, p-value (H03: μ1 = μ0)</v>
      </c>
      <c r="B25" s="8" t="str">
        <v>1.951143573e-6</v>
      </c>
      <c r="C25" s="8" t="str">
        <v>1.528068487e-7</v>
      </c>
      <c r="D25" s="8" t="str">
        <v>3.353780366e-7</v>
      </c>
      <c r="E25" s="8" t="str">
        <v>3.085705976e-5</v>
      </c>
    </row>
    <row r="26" spans="1:5" x14ac:dyDescent="0.45">
      <c r="A26" s="7" t="str">
        <v>μ1 - μ0, CI upper limit (1-sided)</v>
      </c>
      <c r="B26" s="8" t="str">
        <v>3.979681208</v>
      </c>
      <c r="C26" s="8" t="str">
        <v>4.373291702</v>
      </c>
      <c r="D26" s="8" t="str">
        <v>4.5306502</v>
      </c>
      <c r="E26" s="8" t="str">
        <v>4.840866934</v>
      </c>
    </row>
    <row r="27" spans="1:5" x14ac:dyDescent="0.45">
      <c r="A27" s="7" t="str">
        <v>μ1 - μ0, CI lower limit (1-sided)</v>
      </c>
      <c r="B27" s="8" t="str">
        <v>2.820318792</v>
      </c>
      <c r="C27" s="8" t="str">
        <v>2.826708298</v>
      </c>
      <c r="D27" s="8" t="str">
        <v>2.6693498</v>
      </c>
      <c r="E27" s="8" t="str">
        <v>2.359133066</v>
      </c>
    </row>
    <row r="28" spans="1:5" x14ac:dyDescent="0.45">
      <c r="A28" s="7" t="str">
        <v>μ1 - μ0, CI upper limit (2-sided)</v>
      </c>
      <c r="B28" s="8" t="str">
        <v>4.115356906</v>
      </c>
      <c r="C28" s="8" t="str">
        <v>4.536028813</v>
      </c>
      <c r="D28" s="8" t="str">
        <v>4.72021841</v>
      </c>
      <c r="E28" s="8" t="str">
        <v>5.093624547</v>
      </c>
    </row>
    <row r="29" spans="1:5" x14ac:dyDescent="0.45">
      <c r="A29" s="7" t="str">
        <v>μ1 - μ0, CI lower limit (2-sided)</v>
      </c>
      <c r="B29" s="8" t="str">
        <v>2.684643094</v>
      </c>
      <c r="C29" s="8" t="str">
        <v>2.663971187</v>
      </c>
      <c r="D29" s="8" t="str">
        <v>2.47978159</v>
      </c>
      <c r="E29" s="8" t="str">
        <v>2.106375453</v>
      </c>
    </row>
    <row r="30" spans="1:5" x14ac:dyDescent="0.45">
      <c r="A30" s="7" t="str">
        <v>μ1 - μ0, CI-length (2-sided)</v>
      </c>
      <c r="B30" s="8" t="str">
        <v>1.430713812</v>
      </c>
      <c r="C30" s="8" t="str">
        <v>1.872057626</v>
      </c>
      <c r="D30" s="8" t="str">
        <v>2.24043682</v>
      </c>
      <c r="E30" s="8" t="str">
        <v>2.987249094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Student_t_1sample_test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Dietrich Hadler</dc:creator>
  <cp:lastModifiedBy>Dietrich Hadler</cp:lastModifiedBy>
  <dcterms:created xsi:type="dcterms:W3CDTF">2026-10-05T10:31:30Z</dcterms:created>
  <dcterms:modified xsi:type="dcterms:W3CDTF">2026-10-11T18:07:40Z</dcterms:modified>
</cp:coreProperties>
</file>